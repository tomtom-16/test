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URAETH\Downloads\PSR\"/>
    </mc:Choice>
  </mc:AlternateContent>
  <bookViews>
    <workbookView xWindow="0" yWindow="0" windowWidth="28800" windowHeight="12300" tabRatio="505" firstSheet="2" activeTab="12"/>
  </bookViews>
  <sheets>
    <sheet name="REF" sheetId="13" r:id="rId1"/>
    <sheet name="Instructions - Consignes" sheetId="1" r:id="rId2"/>
    <sheet name="INIT" sheetId="14" r:id="rId3"/>
    <sheet name="8 - 2023" sheetId="15" r:id="rId4"/>
    <sheet name="9 - 2023" sheetId="16" r:id="rId5"/>
    <sheet name="10 - 2023" sheetId="17" r:id="rId6"/>
    <sheet name="11 - 2023" sheetId="18" r:id="rId7"/>
    <sheet name="12 - 2023" sheetId="19" r:id="rId8"/>
    <sheet name="1 - 2024" sheetId="20" r:id="rId9"/>
    <sheet name="2 - 2024" sheetId="21" r:id="rId10"/>
    <sheet name="3 - 2024" sheetId="23" r:id="rId11"/>
    <sheet name="4 - 2024" sheetId="24" r:id="rId12"/>
    <sheet name="5 - 2024" sheetId="25" r:id="rId13"/>
  </sheets>
  <definedNames>
    <definedName name="TREND">'Instructions - Consignes'!$O$57:$P$61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1" i="25" l="1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K14" i="25"/>
  <c r="H14" i="25"/>
  <c r="K12" i="24" l="1"/>
  <c r="K14" i="24" s="1"/>
  <c r="K10" i="24"/>
  <c r="F51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H14" i="24"/>
  <c r="K12" i="23"/>
  <c r="K14" i="23" s="1"/>
  <c r="K10" i="23"/>
  <c r="F51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H14" i="23"/>
  <c r="K12" i="21"/>
  <c r="K10" i="21"/>
  <c r="F51" i="21"/>
  <c r="F49" i="21"/>
  <c r="F48" i="21"/>
  <c r="F47" i="21"/>
  <c r="F46" i="21"/>
  <c r="F45" i="21"/>
  <c r="F44" i="21"/>
  <c r="F43" i="21"/>
  <c r="F42" i="21"/>
  <c r="F41" i="21"/>
  <c r="F40" i="21"/>
  <c r="F39" i="21"/>
  <c r="F38" i="21"/>
  <c r="F37" i="21"/>
  <c r="F36" i="21"/>
  <c r="H14" i="21"/>
  <c r="K14" i="21" l="1"/>
  <c r="F51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K14" i="20"/>
  <c r="H14" i="20"/>
  <c r="F51" i="19" l="1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K14" i="19"/>
  <c r="H14" i="19"/>
  <c r="F51" i="18" l="1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K14" i="18"/>
  <c r="H14" i="18"/>
  <c r="F51" i="17" l="1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K14" i="17"/>
  <c r="H14" i="17"/>
  <c r="F51" i="16" l="1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K14" i="16"/>
  <c r="H14" i="16"/>
  <c r="F51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K14" i="15"/>
  <c r="H14" i="15"/>
  <c r="F37" i="14"/>
  <c r="F49" i="14"/>
  <c r="F51" i="14"/>
  <c r="F48" i="14"/>
  <c r="F47" i="14"/>
  <c r="F46" i="14"/>
  <c r="F45" i="14"/>
  <c r="F44" i="14"/>
  <c r="F43" i="14"/>
  <c r="F42" i="14"/>
  <c r="F41" i="14"/>
  <c r="F40" i="14"/>
  <c r="F39" i="14"/>
  <c r="F38" i="14"/>
  <c r="F36" i="14"/>
  <c r="K14" i="14"/>
  <c r="H14" i="14"/>
</calcChain>
</file>

<file path=xl/comments1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Régis JAMBOIS</author>
  </authors>
  <commentList>
    <comment ref="E36" authorId="0" shapeId="0">
      <text>
        <r>
          <rPr>
            <sz val="12"/>
            <color indexed="81"/>
            <rFont val="Tahoma"/>
            <family val="2"/>
          </rPr>
          <t>Le corpus contractuel est-il applicable ? 
1 Les documents qui composent le corpus contractuel du projet (contrat et annexes) sont dans un état applicable (validés par les approbateurs désignés).
2 Le corpus contractuel n’est pas formellement validé par les parties prenantes (documents non applicables).
3 Le corpus contractuel est incomplet.
4 Le corpus contractuel est inexistant.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sz val="12"/>
            <color indexed="81"/>
            <rFont val="Tahoma"/>
            <family val="2"/>
          </rPr>
          <t>Rôles et responsabilités identifiées
1 Les rôles et responsabilités des parties prenantes sont définis dans un document (plan de management projet) à jour et validé.
2 Les rôles et responsabilités des parties prenantes sont définis mais le document n’est pas validé par les parties prenantes.
3 Les rôles et responsabilités des parties prenantes ne sont pas clairement définis.
4 Les parties prenantes sont en désaccords sur les rôles ou certains rôles ne sont pas assurés.</t>
        </r>
      </text>
    </comment>
    <comment ref="E38" authorId="0" shapeId="0">
      <text>
        <r>
          <rPr>
            <sz val="12"/>
            <color indexed="81"/>
            <rFont val="Tahoma"/>
            <family val="2"/>
          </rPr>
          <t>Instance de gouvernance et de pilotage (côté client)
 1 Un comité de pilotage est en place, il est réuni régulièrement, le compte rendu est validé.
 2 Un comité de pilotage est en place, il est réuni à la demande, le compte rendu n’est pas formalisé.
 3 Le comité de pilotage n’est pas en place ou n’est pas efficace.
 4 Le client ne veut pas de comité de pilotage (projet non suivi).</t>
        </r>
      </text>
    </comment>
    <comment ref="E39" authorId="0" shapeId="0">
      <text>
        <r>
          <rPr>
            <sz val="12"/>
            <color indexed="81"/>
            <rFont val="Tahoma"/>
            <family val="2"/>
          </rPr>
          <t xml:space="preserve">Instance de pilotage interne 
1 Un comité de pilotage interne mensuel Apside est en place, le compte rendu est rédigé, le PSR est tenu à jour. Le projet est suivi par les porteurs des engagements contractuel (BM) et opérationnel (DM)
 2 Un comité de pilotage interne Apside est en place, le compte rendu est rédigé, le PSR n’est pas tenu à jour.
 3 La réunion de l’instance de pilotage interne est irrégulière, le compte rendu n’est pas systématique.
 4 Il n’y a pas d’instance de pilotage interne, le projet n’est pas suivi par le porteur de l’engagement contractuel.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sz val="12"/>
            <color indexed="81"/>
            <rFont val="Tahoma"/>
            <family val="2"/>
          </rPr>
          <t>Maîtrise des risques et des problèmes :
 1 Conforme : les risques sont formellement identifiés, évalués et suivis, les éventuels problèmes sont tracés avec les plans d’actions associés.
 2 Les risques sont identifiés mais pas suivis formellement et régulièrement, les problèmes ne sont pas formellement tracés.
 3 Les risques ne sont pas tous identifiés, les problèmes ne sont pas formellement tracés.
 4 La mauvaise gestion des risques et des problèmes représentent une défaillance pour le projet, ce point est souligné par le client.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sz val="12"/>
            <color indexed="81"/>
            <rFont val="Tahoma"/>
            <family val="2"/>
          </rPr>
          <t>Respect du planning (jalons du projet) :
 1 Le planning est suivi, les éventuels écarts avec le plan de travail initial sont maîtrisés. Un plan d’actions est en place pour gérer la dérive.
 2 Quelques écarts sont identifiés et explicables, les impacts sur le délai du projet restent maîtrisables.
 3 Ecarts majeurs avec un impact important sur la tenue de l’engagement. Un plan d’actions est à mettre en place et à suivre.
 4 Le planning n’est plus maitrisé, pas de vision sur l’impact en fin de projet.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sz val="12"/>
            <color indexed="81"/>
            <rFont val="Tahoma"/>
            <family val="2"/>
          </rPr>
          <t>Maîtrise du périmètre, des exigences et des changements
 1 Les éventuels changements sont maîtrisés et tracés.
 2 Les changements ne sont pas formellement tracés mais ils sont connus.
 3 La non-maîtrise des changements présente un risque sur la tenue de l’objectif du projet.
 4 Les changements ne sont pas connus explicitement. L’impact sur l’objectif et la performance du projet n’est pas maîtrisé.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sz val="12"/>
            <color indexed="81"/>
            <rFont val="Tahoma"/>
            <family val="2"/>
          </rPr>
          <t>Maîtrise technique et maîtrise du reste à faire
 1 L’équipe projet partage une vision réaliste du reste à faire (charge à produire).
 2 Le reste à faire est perçu, mais pas formalisé dans un plan de charges actualisé.
 3 Le reste à faire n’est pas maîtrisé, pas de plan de charge, pas de vision de la trajectoire du projet.
 4 La non-maîtrise du reste à faire présente un risque avéré pour le projet (satisfaction client, dégradation de la marge brute).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sz val="12"/>
            <color indexed="81"/>
            <rFont val="Tahoma"/>
            <family val="2"/>
          </rPr>
          <t>Gestion de l’équipe (moral, compétences)
 1 Le moral de l’équipe est connu et suivi, la vélocité est conforme aux attendus, les signaux faibles sont captés et gérés. La cartographie des compétences est tenue à jour.
 2 Des signaux faibles sont captés avec un impact probable sur le projet
 3 La dégradation du moral de l’équipe à un impact important sur le projet.
 4 L’équipe est en crise marquée, un plan de remédiation doit être mis en place et suivi.</t>
        </r>
      </text>
    </comment>
    <comment ref="E45" authorId="0" shapeId="0">
      <text>
        <r>
          <rPr>
            <sz val="12"/>
            <color indexed="81"/>
            <rFont val="Tahoma"/>
            <family val="2"/>
          </rPr>
          <t>Maîtrise de la conformité / Qualité des livrables
 1 Les livrables du projet sont conformes aux exigences du client.
 2 Quelques points perfectibles sont signalés (retours client)
 3 Nombreux points perfectibles, un plan d’actions doit être mis en place et suivi.
 4 Le client rejette les livrables,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sz val="12"/>
            <color indexed="81"/>
            <rFont val="Tahoma"/>
            <family val="2"/>
          </rPr>
          <t>Gestion des parties prenantes
 1 Les parties prenantes coopèrent positivement pour la tenue des objectifs du projet. Le client est satisfait des prestations d’Apside.
 2 Quelques dissensions sont observées mais l’ensemble reste maîtrisable et/ou une ou plusieurs parties prenantes ne sont pas suffisamment disponibles pour participer aux activités du projet.
 3 Tensions avérées qui ont un impact sur la tenue de la trajectoire du projet.
 4 Très fortes tensions, la trajectoire du projet est fortement impactée.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sz val="12"/>
            <color indexed="81"/>
            <rFont val="Tahoma"/>
            <family val="2"/>
          </rPr>
          <t xml:space="preserve">Performance économique (tenue de la marge brute)
 1 Le coût de revient du projet est conforme avec ce qui a été vendu. Les écarts sont contrôlés en vue de signer des avenants contractuels.
 2 La marge brute est suivie avec une érosion de moins de 5%
 3 La marge brute est suivie avec une érosion comprise entre 6% et 10%
 4 La marge brute n’est pas suivie et/ou fuite de marge de plus de 10%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sz val="12"/>
            <color indexed="81"/>
            <rFont val="Tahoma"/>
            <family val="2"/>
          </rPr>
          <t>Facturation (DSO) 
 1 Les prestations sont facturées conformément aux dispositions contractuelles, les factures sont payées dans les délais, l’état de facturation est présenté en comité de pilotage (interne et client).
 2 Un retard de facturation est identifié et/ou la facturation n’est pas formellement suivie.
 3 La facturation n’est pas suivie régulièrement.
 4 Défaillance avérée dans le processus de facturation et de recouvrement.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sz val="12"/>
            <color indexed="81"/>
            <rFont val="Tahoma"/>
            <family val="2"/>
          </rPr>
          <t>Sécurité et RGPD
 1 Les objectifs de sécurité et RGPD du projet sont connus et suivis conformément aux dispositions contractuelles et aux meilleures pratiques (devoir de conseil d’APSIDE).
 2 Les objectifs de sécurité et RGPD du projet ne sont connus mais pas totalement formalisés conformément aux dispositions contractuelles et aux meilleures pratiques (devoir de conseil d’APSIDE).
 3 Les objectifs de sécurité et RGPD ne sont pas identifiés au fait du client et/ou des équipes APSIDE, une action de correction est nécessaire.
 4 Ce point n’est pas suivi correctement et/ou des défaillances existes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<sst xmlns="http://schemas.openxmlformats.org/spreadsheetml/2006/main" count="967" uniqueCount="138">
  <si>
    <t>ID CRM :</t>
  </si>
  <si>
    <t>ID SYGES :</t>
  </si>
  <si>
    <t>I - identification of commitment / Identification de l'engagement :</t>
  </si>
  <si>
    <t>Monthly Project Status Report
Rapport mensuel de l'état de santé du projet</t>
  </si>
  <si>
    <t>MM</t>
  </si>
  <si>
    <t>YYYYY</t>
  </si>
  <si>
    <t>D/M - J/H</t>
  </si>
  <si>
    <t>II - Reporting :</t>
  </si>
  <si>
    <t>III - Assessment of health status / Evaluation de l'état de santé :</t>
  </si>
  <si>
    <t>Amélioration</t>
  </si>
  <si>
    <t>Franche amélioration</t>
  </si>
  <si>
    <t>Stable</t>
  </si>
  <si>
    <t>Dégradation</t>
  </si>
  <si>
    <t>Nette dégradation</t>
  </si>
  <si>
    <t>Centre de ressources</t>
  </si>
  <si>
    <t>Centre de compétences</t>
  </si>
  <si>
    <t>Centre de services</t>
  </si>
  <si>
    <t>Forfait (périmlètre, délai, prix)</t>
  </si>
  <si>
    <t>Forfait Agile (Product BackLog &amp; Sprints)</t>
  </si>
  <si>
    <t>Assitance Technique Globalisée (Egagement de moyens avec pilotage)</t>
  </si>
  <si>
    <t>Autre (à commenter)</t>
  </si>
  <si>
    <t>Facturation sur constat du temps passé</t>
  </si>
  <si>
    <t>Facturation sur livrable / jalon projet</t>
  </si>
  <si>
    <t>NE PAS MODIFIER LA STRUCTURE DU CLASSEUR</t>
  </si>
  <si>
    <t>DO NOT CHANGE THE STRUCTURE OF THE WORKBOOK</t>
  </si>
  <si>
    <t>Ce document vise à rendre compte mensuellement de l'état de santé d'un projet.</t>
  </si>
  <si>
    <t>This document is intended to report monthly on the health of a project.</t>
  </si>
  <si>
    <t>Fill in only the yellow cells</t>
  </si>
  <si>
    <t>Remplir uniquement les cellules en jaune</t>
  </si>
  <si>
    <t>Send the updated document to delivery management by the end of the first week of the month.</t>
  </si>
  <si>
    <t>Envoyer le document mis à jour à la direction du delivery au plus tard à la fin de la première semaine du mois.</t>
  </si>
  <si>
    <r>
      <rPr>
        <sz val="11"/>
        <color rgb="FF0070C0"/>
        <rFont val="Calibri"/>
        <family val="2"/>
        <scheme val="minor"/>
      </rPr>
      <t>Client</t>
    </r>
    <r>
      <rPr>
        <sz val="11"/>
        <color theme="1"/>
        <rFont val="Calibri"/>
        <family val="2"/>
        <scheme val="minor"/>
      </rPr>
      <t xml:space="preserve"> / Client :</t>
    </r>
  </si>
  <si>
    <r>
      <rPr>
        <sz val="11"/>
        <color rgb="FF0070C0"/>
        <rFont val="Calibri"/>
        <family val="2"/>
        <scheme val="minor"/>
      </rPr>
      <t>Project</t>
    </r>
    <r>
      <rPr>
        <sz val="11"/>
        <color theme="1"/>
        <rFont val="Calibri"/>
        <family val="2"/>
        <scheme val="minor"/>
      </rPr>
      <t xml:space="preserve"> / Projet :</t>
    </r>
  </si>
  <si>
    <r>
      <rPr>
        <sz val="11"/>
        <color rgb="FF0070C0"/>
        <rFont val="Calibri"/>
        <family val="2"/>
        <scheme val="minor"/>
      </rPr>
      <t>Start date</t>
    </r>
    <r>
      <rPr>
        <sz val="11"/>
        <color theme="1"/>
        <rFont val="Calibri"/>
        <family val="2"/>
        <scheme val="minor"/>
      </rPr>
      <t xml:space="preserve"> / Date de début :</t>
    </r>
  </si>
  <si>
    <r>
      <rPr>
        <sz val="11"/>
        <color rgb="FF0070C0"/>
        <rFont val="Calibri"/>
        <family val="2"/>
        <scheme val="minor"/>
      </rPr>
      <t>End date</t>
    </r>
    <r>
      <rPr>
        <sz val="11"/>
        <color theme="1"/>
        <rFont val="Calibri"/>
        <family val="2"/>
        <scheme val="minor"/>
      </rPr>
      <t xml:space="preserve"> / Date de fin :</t>
    </r>
  </si>
  <si>
    <r>
      <rPr>
        <sz val="11"/>
        <color rgb="FF0070C0"/>
        <rFont val="Calibri"/>
        <family val="2"/>
        <scheme val="minor"/>
      </rPr>
      <t>Type of contractual agreement</t>
    </r>
    <r>
      <rPr>
        <sz val="11"/>
        <color theme="1"/>
        <rFont val="Calibri"/>
        <family val="2"/>
        <scheme val="minor"/>
      </rPr>
      <t xml:space="preserve">
Type d'engagement contractuel :</t>
    </r>
  </si>
  <si>
    <r>
      <rPr>
        <sz val="11"/>
        <color rgb="FF0070C0"/>
        <rFont val="Calibri"/>
        <family val="2"/>
        <scheme val="minor"/>
      </rPr>
      <t>Type of operational commitment</t>
    </r>
    <r>
      <rPr>
        <sz val="11"/>
        <color theme="1"/>
        <rFont val="Calibri"/>
        <family val="2"/>
        <scheme val="minor"/>
      </rPr>
      <t xml:space="preserve">
Type d'engagement opérationnel :</t>
    </r>
  </si>
  <si>
    <r>
      <rPr>
        <sz val="11"/>
        <color rgb="FF0070C0"/>
        <rFont val="Calibri"/>
        <family val="2"/>
        <scheme val="minor"/>
      </rPr>
      <t>Delivery Manager</t>
    </r>
    <r>
      <rPr>
        <sz val="11"/>
        <color theme="1"/>
        <rFont val="Calibri"/>
        <family val="2"/>
        <scheme val="minor"/>
      </rPr>
      <t xml:space="preserve">
Project Manager :</t>
    </r>
  </si>
  <si>
    <r>
      <rPr>
        <sz val="11"/>
        <color rgb="FF0070C0"/>
        <rFont val="Calibri"/>
        <family val="2"/>
        <scheme val="minor"/>
      </rPr>
      <t>Current Project Milestone</t>
    </r>
    <r>
      <rPr>
        <sz val="11"/>
        <color theme="1"/>
        <rFont val="Calibri"/>
        <family val="2"/>
        <scheme val="minor"/>
      </rPr>
      <t xml:space="preserve">
Jalon de projet en cours :</t>
    </r>
  </si>
  <si>
    <r>
      <rPr>
        <sz val="11"/>
        <color rgb="FF0070C0"/>
        <rFont val="Calibri"/>
        <family val="2"/>
        <scheme val="minor"/>
      </rPr>
      <t>Applicable contractual body</t>
    </r>
    <r>
      <rPr>
        <sz val="11"/>
        <color theme="1"/>
        <rFont val="Calibri"/>
        <family val="2"/>
        <scheme val="minor"/>
      </rPr>
      <t xml:space="preserve">
Corpus contractuel applicable :</t>
    </r>
  </si>
  <si>
    <r>
      <rPr>
        <sz val="11"/>
        <color rgb="FF0070C0"/>
        <rFont val="Calibri"/>
        <family val="2"/>
        <scheme val="minor"/>
      </rPr>
      <t>Governance and steering body (client side)</t>
    </r>
    <r>
      <rPr>
        <sz val="11"/>
        <color theme="1"/>
        <rFont val="Calibri"/>
        <family val="2"/>
        <scheme val="minor"/>
      </rPr>
      <t xml:space="preserve">
Instance de gouvernance et de pilotage (côté client) :</t>
    </r>
  </si>
  <si>
    <r>
      <rPr>
        <sz val="11"/>
        <color rgb="FF0070C0"/>
        <rFont val="Calibri"/>
        <family val="2"/>
        <scheme val="minor"/>
      </rPr>
      <t>Internal steering body</t>
    </r>
    <r>
      <rPr>
        <sz val="11"/>
        <color theme="1"/>
        <rFont val="Calibri"/>
        <family val="2"/>
        <scheme val="minor"/>
      </rPr>
      <t xml:space="preserve">
Instance de pilotage interne:</t>
    </r>
  </si>
  <si>
    <r>
      <rPr>
        <sz val="11"/>
        <color rgb="FF0070C0"/>
        <rFont val="Calibri"/>
        <family val="2"/>
        <scheme val="minor"/>
      </rPr>
      <t>Respect of the schedule (project milestones)</t>
    </r>
    <r>
      <rPr>
        <sz val="11"/>
        <color theme="1"/>
        <rFont val="Calibri"/>
        <family val="2"/>
        <scheme val="minor"/>
      </rPr>
      <t xml:space="preserve">
Respect du planning (jalons du projet) :</t>
    </r>
  </si>
  <si>
    <r>
      <rPr>
        <sz val="11"/>
        <color rgb="FF0070C0"/>
        <rFont val="Calibri"/>
        <family val="2"/>
        <scheme val="minor"/>
      </rPr>
      <t>Scope and requirements control</t>
    </r>
    <r>
      <rPr>
        <sz val="11"/>
        <color theme="1"/>
        <rFont val="Calibri"/>
        <family val="2"/>
        <scheme val="minor"/>
      </rPr>
      <t xml:space="preserve">
Maîtrise du périmètre et des exigences :</t>
    </r>
  </si>
  <si>
    <r>
      <rPr>
        <sz val="11"/>
        <color rgb="FF0070C0"/>
        <rFont val="Calibri"/>
        <family val="2"/>
        <scheme val="minor"/>
      </rPr>
      <t>Technical control and control of the remaining work</t>
    </r>
    <r>
      <rPr>
        <sz val="11"/>
        <color theme="1"/>
        <rFont val="Calibri"/>
        <family val="2"/>
        <scheme val="minor"/>
      </rPr>
      <t xml:space="preserve">
Maîtrise technique et maîtrise du reste à faire :</t>
    </r>
  </si>
  <si>
    <r>
      <rPr>
        <sz val="11"/>
        <color rgb="FF0070C0"/>
        <rFont val="Calibri"/>
        <family val="2"/>
        <scheme val="minor"/>
      </rPr>
      <t xml:space="preserve">Internal team </t>
    </r>
    <r>
      <rPr>
        <sz val="11"/>
        <color theme="1"/>
        <rFont val="Calibri"/>
        <family val="2"/>
        <scheme val="minor"/>
      </rPr>
      <t xml:space="preserve">
Interne équipe (staffing) :</t>
    </r>
  </si>
  <si>
    <r>
      <rPr>
        <sz val="11"/>
        <color rgb="FF0070C0"/>
        <rFont val="Calibri"/>
        <family val="2"/>
        <scheme val="minor"/>
      </rPr>
      <t>Control of compliance / Quality of deliverables</t>
    </r>
    <r>
      <rPr>
        <sz val="11"/>
        <color theme="1"/>
        <rFont val="Calibri"/>
        <family val="2"/>
        <scheme val="minor"/>
      </rPr>
      <t xml:space="preserve">
Maîtrise de la conformité / Qualité des livrables :</t>
    </r>
  </si>
  <si>
    <r>
      <rPr>
        <sz val="11"/>
        <color rgb="FF0070C0"/>
        <rFont val="Calibri"/>
        <family val="2"/>
        <scheme val="minor"/>
      </rPr>
      <t>Stakeholder control</t>
    </r>
    <r>
      <rPr>
        <sz val="11"/>
        <color theme="1"/>
        <rFont val="Calibri"/>
        <family val="2"/>
        <scheme val="minor"/>
      </rPr>
      <t xml:space="preserve">
Maîtrise des parties prenantes :</t>
    </r>
  </si>
  <si>
    <r>
      <rPr>
        <sz val="11"/>
        <color rgb="FF0070C0"/>
        <rFont val="Calibri"/>
        <family val="2"/>
        <scheme val="minor"/>
      </rPr>
      <t>Economic performance (gross margin performance)</t>
    </r>
    <r>
      <rPr>
        <sz val="11"/>
        <color theme="1"/>
        <rFont val="Calibri"/>
        <family val="2"/>
        <scheme val="minor"/>
      </rPr>
      <t xml:space="preserve">
Performance économique (tenue de la marge brute) :</t>
    </r>
  </si>
  <si>
    <r>
      <rPr>
        <sz val="11"/>
        <color rgb="FF0070C0"/>
        <rFont val="Calibri"/>
        <family val="2"/>
        <scheme val="minor"/>
      </rPr>
      <t>Billing</t>
    </r>
    <r>
      <rPr>
        <sz val="11"/>
        <color theme="1"/>
        <rFont val="Calibri"/>
        <family val="2"/>
        <scheme val="minor"/>
      </rPr>
      <t xml:space="preserve">
Facturation (DSO) :</t>
    </r>
  </si>
  <si>
    <r>
      <rPr>
        <sz val="11"/>
        <color rgb="FF0070C0"/>
        <rFont val="Calibri"/>
        <family val="2"/>
        <scheme val="minor"/>
      </rPr>
      <t>Report to end</t>
    </r>
    <r>
      <rPr>
        <sz val="11"/>
        <color theme="1"/>
        <rFont val="Calibri"/>
        <family val="2"/>
        <scheme val="minor"/>
      </rPr>
      <t xml:space="preserve">  / Rapport à fin :</t>
    </r>
  </si>
  <si>
    <r>
      <rPr>
        <sz val="11"/>
        <color rgb="FF0070C0"/>
        <rFont val="Calibri"/>
        <family val="2"/>
        <scheme val="minor"/>
      </rPr>
      <t>Nb FTE</t>
    </r>
    <r>
      <rPr>
        <sz val="11"/>
        <color theme="1"/>
        <rFont val="Calibri"/>
        <family val="2"/>
        <scheme val="minor"/>
      </rPr>
      <t xml:space="preserve"> / ETP :</t>
    </r>
  </si>
  <si>
    <r>
      <rPr>
        <sz val="11"/>
        <color rgb="FF0070C0"/>
        <rFont val="Calibri"/>
        <family val="2"/>
        <scheme val="minor"/>
      </rPr>
      <t>Wokload sold for the month</t>
    </r>
    <r>
      <rPr>
        <sz val="11"/>
        <color theme="1"/>
        <rFont val="Calibri"/>
        <family val="2"/>
        <scheme val="minor"/>
      </rPr>
      <t xml:space="preserve">
Charge vendue pour le mois :</t>
    </r>
  </si>
  <si>
    <r>
      <rPr>
        <sz val="11"/>
        <color rgb="FF0070C0"/>
        <rFont val="Calibri"/>
        <family val="2"/>
        <scheme val="minor"/>
      </rPr>
      <t xml:space="preserve">Realized workload for the month </t>
    </r>
    <r>
      <rPr>
        <sz val="11"/>
        <color theme="1"/>
        <rFont val="Calibri"/>
        <family val="2"/>
        <scheme val="minor"/>
      </rPr>
      <t xml:space="preserve">
Charge réalisée pour le mois :</t>
    </r>
  </si>
  <si>
    <r>
      <rPr>
        <sz val="11"/>
        <color rgb="FF0070C0"/>
        <rFont val="Calibri"/>
        <family val="2"/>
        <scheme val="minor"/>
      </rPr>
      <t>Gap</t>
    </r>
    <r>
      <rPr>
        <sz val="11"/>
        <color theme="1"/>
        <rFont val="Calibri"/>
        <family val="2"/>
        <scheme val="minor"/>
      </rPr>
      <t xml:space="preserve"> / Ecart :</t>
    </r>
  </si>
  <si>
    <r>
      <rPr>
        <sz val="11"/>
        <color rgb="FF0070C0"/>
        <rFont val="Calibri"/>
        <family val="2"/>
        <scheme val="minor"/>
      </rPr>
      <t>Justification of the difference</t>
    </r>
    <r>
      <rPr>
        <sz val="11"/>
        <color theme="1"/>
        <rFont val="Calibri"/>
        <family val="2"/>
        <scheme val="minor"/>
      </rPr>
      <t xml:space="preserve">
Justification de l'écart :</t>
    </r>
  </si>
  <si>
    <r>
      <rPr>
        <b/>
        <sz val="11"/>
        <color rgb="FF0070C0"/>
        <rFont val="Calibri"/>
        <family val="2"/>
        <scheme val="minor"/>
      </rPr>
      <t>Level</t>
    </r>
    <r>
      <rPr>
        <b/>
        <sz val="11"/>
        <color theme="1"/>
        <rFont val="Calibri"/>
        <family val="2"/>
        <scheme val="minor"/>
      </rPr>
      <t xml:space="preserve"> / Niveau</t>
    </r>
  </si>
  <si>
    <r>
      <rPr>
        <b/>
        <sz val="11"/>
        <color rgb="FF0070C0"/>
        <rFont val="Calibri"/>
        <family val="2"/>
        <scheme val="minor"/>
      </rPr>
      <t xml:space="preserve">Comments
</t>
    </r>
    <r>
      <rPr>
        <b/>
        <sz val="11"/>
        <color theme="1"/>
        <rFont val="Calibri"/>
        <family val="2"/>
        <scheme val="minor"/>
      </rPr>
      <t>Commentaires (actions &amp; décisions)</t>
    </r>
  </si>
  <si>
    <r>
      <rPr>
        <b/>
        <sz val="11"/>
        <color rgb="FF0070C0"/>
        <rFont val="Calibri"/>
        <family val="2"/>
        <scheme val="minor"/>
      </rPr>
      <t xml:space="preserve">Trend
</t>
    </r>
    <r>
      <rPr>
        <b/>
        <sz val="11"/>
        <color theme="1"/>
        <rFont val="Calibri"/>
        <family val="2"/>
        <scheme val="minor"/>
      </rPr>
      <t>Tendance</t>
    </r>
  </si>
  <si>
    <r>
      <rPr>
        <sz val="11"/>
        <color rgb="FF0070C0"/>
        <rFont val="Calibri"/>
        <family val="2"/>
        <scheme val="minor"/>
      </rPr>
      <t>General Health Assessment</t>
    </r>
    <r>
      <rPr>
        <sz val="11"/>
        <color theme="1"/>
        <rFont val="Calibri"/>
        <family val="2"/>
        <scheme val="minor"/>
      </rPr>
      <t xml:space="preserve">
Appréciation de l'état général :</t>
    </r>
  </si>
  <si>
    <t>Version 1.0</t>
  </si>
  <si>
    <t>SUIVI DES MODIFICATIONS</t>
  </si>
  <si>
    <t>V.1.0</t>
  </si>
  <si>
    <t>V 0.1</t>
  </si>
  <si>
    <t>Version initiale</t>
  </si>
  <si>
    <r>
      <rPr>
        <sz val="11"/>
        <color rgb="FF0070C0"/>
        <rFont val="Calibri"/>
        <family val="2"/>
        <scheme val="minor"/>
      </rPr>
      <t>Contract Manager</t>
    </r>
    <r>
      <rPr>
        <sz val="11"/>
        <color theme="1"/>
        <rFont val="Calibri"/>
        <family val="2"/>
        <scheme val="minor"/>
      </rPr>
      <t xml:space="preserve">
Responsable du compte client :</t>
    </r>
  </si>
  <si>
    <r>
      <rPr>
        <sz val="11"/>
        <color rgb="FF0070C0"/>
        <rFont val="Calibri"/>
        <family val="2"/>
        <scheme val="minor"/>
      </rPr>
      <t>Total workload sold</t>
    </r>
    <r>
      <rPr>
        <sz val="11"/>
        <color theme="1"/>
        <rFont val="Calibri"/>
        <family val="2"/>
        <scheme val="minor"/>
      </rPr>
      <t xml:space="preserve">
Charge totale vendue pour le projet :</t>
    </r>
  </si>
  <si>
    <r>
      <rPr>
        <sz val="11"/>
        <color rgb="FF0070C0"/>
        <rFont val="Calibri"/>
        <family val="2"/>
        <scheme val="minor"/>
      </rPr>
      <t>Total revised workload (forecast)</t>
    </r>
    <r>
      <rPr>
        <sz val="11"/>
        <color theme="1"/>
        <rFont val="Calibri"/>
        <family val="2"/>
        <scheme val="minor"/>
      </rPr>
      <t xml:space="preserve">
Charge totale révisée (prévision à fin de projet) :</t>
    </r>
  </si>
  <si>
    <r>
      <rPr>
        <sz val="11"/>
        <color rgb="FF0070C0"/>
        <rFont val="Calibri"/>
        <family val="2"/>
        <scheme val="minor"/>
      </rPr>
      <t>free of charge for the period</t>
    </r>
    <r>
      <rPr>
        <sz val="11"/>
        <color theme="1"/>
        <rFont val="Calibri"/>
        <family val="2"/>
        <scheme val="minor"/>
      </rPr>
      <t xml:space="preserve">
Gratuité sur la période (Nb ETP)</t>
    </r>
  </si>
  <si>
    <t>III-1</t>
  </si>
  <si>
    <t>III-2</t>
  </si>
  <si>
    <t>III-3</t>
  </si>
  <si>
    <t>III-4</t>
  </si>
  <si>
    <t>III-5</t>
  </si>
  <si>
    <t>III-6</t>
  </si>
  <si>
    <t>III-7</t>
  </si>
  <si>
    <t>III-8</t>
  </si>
  <si>
    <t>III-9</t>
  </si>
  <si>
    <t>III-10</t>
  </si>
  <si>
    <t>III-11</t>
  </si>
  <si>
    <t>III-12</t>
  </si>
  <si>
    <t>III-13</t>
  </si>
  <si>
    <t>III-14</t>
  </si>
  <si>
    <t>Situation conforme</t>
  </si>
  <si>
    <t>Alertes mineures</t>
  </si>
  <si>
    <t>Défaillance majeure à traiter</t>
  </si>
  <si>
    <t>Situation de crise</t>
  </si>
  <si>
    <r>
      <rPr>
        <sz val="11"/>
        <color rgb="FF0070C0"/>
        <rFont val="Calibri"/>
        <family val="2"/>
        <scheme val="minor"/>
      </rPr>
      <t xml:space="preserve">business line </t>
    </r>
    <r>
      <rPr>
        <sz val="11"/>
        <color theme="1"/>
        <rFont val="Calibri"/>
        <family val="2"/>
        <scheme val="minor"/>
      </rPr>
      <t>/ Secteur d'activité :</t>
    </r>
  </si>
  <si>
    <t>Assurance Mutuelle Santé</t>
  </si>
  <si>
    <t>Banque</t>
  </si>
  <si>
    <t>Industrie</t>
  </si>
  <si>
    <t>Services</t>
  </si>
  <si>
    <t>Secteur Public</t>
  </si>
  <si>
    <t>Agence Digitale</t>
  </si>
  <si>
    <t>EU (Data, Cyber, Cloud)</t>
  </si>
  <si>
    <t>Ajout du nom du porteur de l'engagement contractuel (rôle business), Ajout du secteur</t>
  </si>
  <si>
    <t>NA</t>
  </si>
  <si>
    <t>Non applicable</t>
  </si>
  <si>
    <r>
      <rPr>
        <sz val="11"/>
        <color rgb="FF0070C0"/>
        <rFont val="Calibri"/>
        <family val="2"/>
        <scheme val="minor"/>
      </rPr>
      <t>Risks &amp; problem control</t>
    </r>
    <r>
      <rPr>
        <sz val="11"/>
        <color theme="1"/>
        <rFont val="Calibri"/>
        <family val="2"/>
        <scheme val="minor"/>
      </rPr>
      <t xml:space="preserve">
Maîtrise des risques et des problèmes :</t>
    </r>
  </si>
  <si>
    <r>
      <rPr>
        <sz val="11"/>
        <color theme="8"/>
        <rFont val="Calibri"/>
        <family val="2"/>
        <scheme val="minor"/>
      </rPr>
      <t xml:space="preserve">End-of-year discount (EYD) contract
</t>
    </r>
    <r>
      <rPr>
        <sz val="11"/>
        <color theme="1"/>
        <rFont val="Calibri"/>
        <family val="2"/>
        <scheme val="minor"/>
      </rPr>
      <t>Contrat avec remise de fin d'année (RFA)</t>
    </r>
  </si>
  <si>
    <t>OUI</t>
  </si>
  <si>
    <t>NON</t>
  </si>
  <si>
    <t>Projet éligible au Crédit Impôt Recherche (CIR)</t>
  </si>
  <si>
    <r>
      <rPr>
        <sz val="11"/>
        <color rgb="FF0070C0"/>
        <rFont val="Calibri"/>
        <family val="2"/>
        <scheme val="minor"/>
      </rPr>
      <t>Identified roles and responsibilities :</t>
    </r>
    <r>
      <rPr>
        <sz val="11"/>
        <color theme="1"/>
        <rFont val="Calibri"/>
        <family val="2"/>
        <scheme val="minor"/>
      </rPr>
      <t xml:space="preserve">
Rôles et responsabilités identifiées</t>
    </r>
  </si>
  <si>
    <r>
      <rPr>
        <sz val="11"/>
        <color rgb="FF0070C0"/>
        <rFont val="Calibri"/>
        <family val="2"/>
        <scheme val="minor"/>
      </rPr>
      <t>Security &amp; GDPR</t>
    </r>
    <r>
      <rPr>
        <sz val="11"/>
        <color theme="1"/>
        <rFont val="Calibri"/>
        <family val="2"/>
        <scheme val="minor"/>
      </rPr>
      <t xml:space="preserve">
Sécurité et RGPD :</t>
    </r>
  </si>
  <si>
    <t>III-15</t>
  </si>
  <si>
    <t>EID</t>
  </si>
  <si>
    <t>Antonio SANCHEZ</t>
  </si>
  <si>
    <t>Thomas BEURAERT</t>
  </si>
  <si>
    <t>Réalisation</t>
  </si>
  <si>
    <t>Suivis et tracés dans le cadre du COPIL</t>
  </si>
  <si>
    <t>Alertes sur la qualité de certains livrables, les actions ont été menées</t>
  </si>
  <si>
    <t>Difficultés à staffer l'équipe à 100%, le client n'alimente pas suffisamment APSIDE malgré les alertes et relances</t>
  </si>
  <si>
    <t>CDS multi projets</t>
  </si>
  <si>
    <t>Problématique de performance économique du contrat</t>
  </si>
  <si>
    <t>En cours d'installation</t>
  </si>
  <si>
    <t>Manque de visibilité sur le plan de charge de l'équipe au fait du client</t>
  </si>
  <si>
    <t>Marge brute proche de zéro</t>
  </si>
  <si>
    <t>inactivité 75j + formation (gratuité) 18j + dépassement technique 46j</t>
  </si>
  <si>
    <t>inactivité 75j + formation (gratuité) 15j + dépassement technique 46j</t>
  </si>
  <si>
    <t>Copil le 19/9 avec intervention du directeur de région en vue d'améliorer le staffing et donc la performance économique</t>
  </si>
  <si>
    <t>Agence responsable du PSR</t>
  </si>
  <si>
    <t>LILLE</t>
  </si>
  <si>
    <t>Intervention du directeur de région le 19/9
Actions à mener auprès des opérationnels pour récupérer des sujets</t>
  </si>
  <si>
    <t>inactivité (86j) + formation (gratuité, 29j) + dépassement technique (54j) - gain (38j)</t>
  </si>
  <si>
    <t>Meilleure visibilité sur le plan de charge depuis mi octobre après relances des opérationnels et rencontres avec les responsables EID</t>
  </si>
  <si>
    <t>inactivité (89j) + formation (gratuité, 29j) + dépassement technique (54j) - gain (47j)</t>
  </si>
  <si>
    <t>Contrat signé</t>
  </si>
  <si>
    <t>1ère instance tenue le 28/11</t>
  </si>
  <si>
    <t>Situation revenue à la normale</t>
  </si>
  <si>
    <t>Retard de facturation du à l'outil du client et du délai dans l'envoi des commandes</t>
  </si>
  <si>
    <t>Marge brute faible</t>
  </si>
  <si>
    <t>Inactivité</t>
  </si>
  <si>
    <t>Inactivité (49j) + dépassement (12,5j) - gain (42,5j)</t>
  </si>
  <si>
    <t>Amélioration sur le mois d'avril, inactivité réduite à son minimum</t>
  </si>
  <si>
    <t>Difficulté à trouver des remplacements pour les collaborateurs arrivant en limite des 3 ans</t>
  </si>
  <si>
    <t>Problématique sur le staffing à traiter (remplacement)
Alimentation du CDS en amélioration sur les dernières semaines</t>
  </si>
  <si>
    <t>Nouveau contrat non validé par Strasbourg, pas d'augmentation du TJM du CDS Lille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</si>
</sst>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8"/>
      <name val="Calibri"/>
      <family val="2"/>
      <scheme val="minor"/>
    </font>
    <font>
      <sz val="14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0" fillId="0" borderId="0" xfId="0" applyAlignment="1">
      <alignment vertical="center"/>
    </xf>
    <xf numFmtId="0" fontId="0" fillId="3" borderId="0" xfId="0" applyFill="1"/>
    <xf numFmtId="0" fontId="1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/>
    </xf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2" borderId="1" xfId="0" applyFill="1" applyBorder="1" applyAlignment="1">
      <alignment vertical="center"/>
    </xf>
    <xf numFmtId="14" fontId="0" fillId="2" borderId="1" xfId="0" applyNumberFormat="1" applyFill="1" applyBorder="1" applyAlignment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6" fillId="0" borderId="0" xfId="0" applyFont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2" xfId="0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4" fillId="4" borderId="0" xfId="0" applyFont="1" applyFill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Normal" xfId="0" builtinId="0"/>
  </cellStyles>
  <dxfs count="110"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B5CAA8F4-70B4-4E5A-88A0-28C013306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B5CAA8F4-70B4-4E5A-88A0-28C013306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B5CAA8F4-70B4-4E5A-88A0-28C013306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B5CAA8F4-70B4-4E5A-88A0-28C013306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1</xdr:row>
          <xdr:rowOff>66675</xdr:rowOff>
        </xdr:from>
        <xdr:to>
          <xdr:col>11</xdr:col>
          <xdr:colOff>733425</xdr:colOff>
          <xdr:row>1</xdr:row>
          <xdr:rowOff>723900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B5CAA8F4-70B4-4E5A-88A0-28C013306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for the next month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pour le mois suivant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7030A0"/>
  </sheetPr>
  <dimension ref="B2:F16"/>
  <sheetViews>
    <sheetView workbookViewId="0">
      <selection activeCell="F12" sqref="F12"/>
    </sheetView>
  </sheetViews>
  <sheetFormatPr baseColWidth="10" defaultColWidth="10.7109375" defaultRowHeight="15" x14ac:dyDescent="0.25"/>
  <sheetData>
    <row r="2" spans="2:6" x14ac:dyDescent="0.25">
      <c r="B2">
        <v>1</v>
      </c>
      <c r="C2" t="s">
        <v>83</v>
      </c>
    </row>
    <row r="3" spans="2:6" x14ac:dyDescent="0.25">
      <c r="B3">
        <v>2</v>
      </c>
      <c r="C3" t="s">
        <v>84</v>
      </c>
    </row>
    <row r="4" spans="2:6" x14ac:dyDescent="0.25">
      <c r="B4">
        <v>3</v>
      </c>
      <c r="C4" t="s">
        <v>85</v>
      </c>
    </row>
    <row r="5" spans="2:6" x14ac:dyDescent="0.25">
      <c r="B5">
        <v>4</v>
      </c>
      <c r="C5" t="s">
        <v>86</v>
      </c>
    </row>
    <row r="6" spans="2:6" x14ac:dyDescent="0.25">
      <c r="B6" s="2" t="s">
        <v>96</v>
      </c>
      <c r="C6" t="s">
        <v>97</v>
      </c>
    </row>
    <row r="10" spans="2:6" x14ac:dyDescent="0.25">
      <c r="C10" t="s">
        <v>88</v>
      </c>
      <c r="F10" t="s">
        <v>100</v>
      </c>
    </row>
    <row r="11" spans="2:6" x14ac:dyDescent="0.25">
      <c r="C11" t="s">
        <v>89</v>
      </c>
      <c r="F11" t="s">
        <v>101</v>
      </c>
    </row>
    <row r="12" spans="2:6" x14ac:dyDescent="0.25">
      <c r="C12" t="s">
        <v>90</v>
      </c>
    </row>
    <row r="13" spans="2:6" x14ac:dyDescent="0.25">
      <c r="C13" t="s">
        <v>91</v>
      </c>
    </row>
    <row r="14" spans="2:6" x14ac:dyDescent="0.25">
      <c r="C14" t="s">
        <v>92</v>
      </c>
    </row>
    <row r="15" spans="2:6" x14ac:dyDescent="0.25">
      <c r="C15" t="s">
        <v>94</v>
      </c>
    </row>
    <row r="16" spans="2:6" x14ac:dyDescent="0.25">
      <c r="C16" t="s">
        <v>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FF00"/>
  </sheetPr>
  <dimension ref="B1:U68"/>
  <sheetViews>
    <sheetView zoomScale="145" zoomScaleNormal="145" workbookViewId="0">
      <selection activeCell="I18" sqref="I18"/>
    </sheetView>
  </sheetViews>
  <sheetFormatPr baseColWidth="10" defaultColWidth="8.7109375" defaultRowHeight="15" x14ac:dyDescent="0.25"/>
  <cols>
    <col min="9" max="9" width="24.140625" customWidth="1"/>
    <col min="14" max="14" width="45.140625" customWidth="1"/>
  </cols>
  <sheetData>
    <row r="1" spans="2:15" x14ac:dyDescent="0.25">
      <c r="B1" t="s">
        <v>60</v>
      </c>
    </row>
    <row r="2" spans="2:15" x14ac:dyDescent="0.25">
      <c r="B2" s="19" t="s">
        <v>24</v>
      </c>
      <c r="J2" s="19" t="s">
        <v>23</v>
      </c>
    </row>
    <row r="4" spans="2:15" x14ac:dyDescent="0.25">
      <c r="K4" s="35"/>
      <c r="L4" s="35"/>
      <c r="M4" s="35"/>
      <c r="N4" s="35"/>
      <c r="O4" s="35"/>
    </row>
    <row r="5" spans="2:15" x14ac:dyDescent="0.25">
      <c r="B5" t="s">
        <v>26</v>
      </c>
      <c r="J5" s="34" t="s">
        <v>25</v>
      </c>
      <c r="K5" s="34"/>
      <c r="L5" s="34"/>
      <c r="M5" s="34"/>
      <c r="N5" s="34"/>
    </row>
    <row r="6" spans="2:15" x14ac:dyDescent="0.25">
      <c r="B6" t="s">
        <v>27</v>
      </c>
      <c r="J6" t="s">
        <v>28</v>
      </c>
    </row>
    <row r="7" spans="2:15" x14ac:dyDescent="0.25">
      <c r="B7" t="s">
        <v>29</v>
      </c>
      <c r="J7" t="s">
        <v>30</v>
      </c>
    </row>
    <row r="9" spans="2:15" x14ac:dyDescent="0.25">
      <c r="B9" t="s">
        <v>61</v>
      </c>
    </row>
    <row r="11" spans="2:15" x14ac:dyDescent="0.25">
      <c r="B11" t="s">
        <v>63</v>
      </c>
      <c r="C11" t="s">
        <v>64</v>
      </c>
    </row>
    <row r="12" spans="2:15" x14ac:dyDescent="0.25">
      <c r="B12" t="s">
        <v>62</v>
      </c>
      <c r="C12" t="s">
        <v>95</v>
      </c>
    </row>
    <row r="57" spans="15:21" x14ac:dyDescent="0.25">
      <c r="O57">
        <v>10</v>
      </c>
      <c r="P57" t="s">
        <v>10</v>
      </c>
      <c r="S57">
        <v>1</v>
      </c>
      <c r="U57" t="s">
        <v>19</v>
      </c>
    </row>
    <row r="58" spans="15:21" x14ac:dyDescent="0.25">
      <c r="O58">
        <v>20</v>
      </c>
      <c r="P58" t="s">
        <v>9</v>
      </c>
      <c r="S58">
        <v>2</v>
      </c>
      <c r="U58" t="s">
        <v>14</v>
      </c>
    </row>
    <row r="59" spans="15:21" x14ac:dyDescent="0.25">
      <c r="O59">
        <v>30</v>
      </c>
      <c r="P59" t="s">
        <v>11</v>
      </c>
      <c r="S59">
        <v>3</v>
      </c>
      <c r="U59" t="s">
        <v>15</v>
      </c>
    </row>
    <row r="60" spans="15:21" x14ac:dyDescent="0.25">
      <c r="O60">
        <v>40</v>
      </c>
      <c r="P60" t="s">
        <v>12</v>
      </c>
      <c r="S60">
        <v>4</v>
      </c>
      <c r="U60" t="s">
        <v>16</v>
      </c>
    </row>
    <row r="61" spans="15:21" x14ac:dyDescent="0.25">
      <c r="O61">
        <v>50</v>
      </c>
      <c r="P61" t="s">
        <v>13</v>
      </c>
      <c r="S61">
        <v>5</v>
      </c>
      <c r="U61" t="s">
        <v>17</v>
      </c>
    </row>
    <row r="62" spans="15:21" x14ac:dyDescent="0.25">
      <c r="S62">
        <v>6</v>
      </c>
      <c r="U62" t="s">
        <v>18</v>
      </c>
    </row>
    <row r="63" spans="15:21" x14ac:dyDescent="0.25">
      <c r="S63">
        <v>7</v>
      </c>
      <c r="U63" t="s">
        <v>20</v>
      </c>
    </row>
    <row r="64" spans="15:21" x14ac:dyDescent="0.25">
      <c r="S64">
        <v>8</v>
      </c>
    </row>
    <row r="65" spans="19:21" x14ac:dyDescent="0.25">
      <c r="S65">
        <v>9</v>
      </c>
      <c r="U65" t="s">
        <v>21</v>
      </c>
    </row>
    <row r="66" spans="19:21" x14ac:dyDescent="0.25">
      <c r="S66">
        <v>10</v>
      </c>
      <c r="U66" t="s">
        <v>22</v>
      </c>
    </row>
    <row r="67" spans="19:21" x14ac:dyDescent="0.25">
      <c r="S67">
        <v>11</v>
      </c>
    </row>
    <row r="68" spans="19:21" x14ac:dyDescent="0.25">
      <c r="S68">
        <v>12</v>
      </c>
    </row>
  </sheetData>
  <mergeCells count="2">
    <mergeCell ref="J5:N5"/>
    <mergeCell ref="K4:O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2:L52"/>
  <sheetViews>
    <sheetView showGridLines="0" zoomScale="70" zoomScaleNormal="70" workbookViewId="0">
      <selection activeCell="A2" sqref="A2:L2"/>
    </sheetView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5" t="s">
        <v>4</v>
      </c>
      <c r="I5" s="25" t="s">
        <v>5</v>
      </c>
    </row>
    <row r="6" spans="1:12" ht="23.45" customHeight="1" x14ac:dyDescent="0.25">
      <c r="C6" s="27" t="s">
        <v>31</v>
      </c>
      <c r="D6" s="14" t="s">
        <v>106</v>
      </c>
      <c r="G6" s="27" t="s">
        <v>50</v>
      </c>
      <c r="H6" s="17">
        <v>7</v>
      </c>
      <c r="I6" s="17">
        <v>2023</v>
      </c>
    </row>
    <row r="7" spans="1:12" ht="12.6" customHeight="1" x14ac:dyDescent="0.25">
      <c r="C7" s="27"/>
      <c r="D7" s="4"/>
      <c r="G7" s="27"/>
      <c r="H7" s="24"/>
      <c r="I7" s="24"/>
    </row>
    <row r="8" spans="1:12" ht="33.75" customHeight="1" x14ac:dyDescent="0.25">
      <c r="C8" s="27" t="s">
        <v>87</v>
      </c>
      <c r="D8" s="14" t="s">
        <v>89</v>
      </c>
      <c r="G8" s="27" t="s">
        <v>51</v>
      </c>
      <c r="H8" s="17">
        <v>11</v>
      </c>
      <c r="I8" s="4"/>
      <c r="J8" s="1" t="s">
        <v>68</v>
      </c>
      <c r="K8" s="17">
        <v>1</v>
      </c>
    </row>
    <row r="9" spans="1:12" x14ac:dyDescent="0.25">
      <c r="C9" s="27"/>
    </row>
    <row r="10" spans="1:12" ht="42.6" customHeight="1" x14ac:dyDescent="0.25">
      <c r="C10" s="27" t="s">
        <v>32</v>
      </c>
      <c r="D10" s="16" t="s">
        <v>113</v>
      </c>
      <c r="G10" s="26" t="s">
        <v>52</v>
      </c>
      <c r="H10" s="17">
        <v>123</v>
      </c>
      <c r="I10" t="s">
        <v>6</v>
      </c>
      <c r="J10" s="1" t="s">
        <v>66</v>
      </c>
      <c r="K10" s="17">
        <v>1029.5</v>
      </c>
    </row>
    <row r="11" spans="1:12" ht="16.5" customHeight="1" x14ac:dyDescent="0.25">
      <c r="C11" s="27"/>
      <c r="D11" s="20"/>
      <c r="G11" s="27"/>
    </row>
    <row r="12" spans="1:12" ht="42.6" customHeight="1" x14ac:dyDescent="0.25">
      <c r="C12" s="26" t="s">
        <v>99</v>
      </c>
      <c r="D12" s="16" t="s">
        <v>100</v>
      </c>
      <c r="G12" s="26" t="s">
        <v>53</v>
      </c>
      <c r="H12" s="17">
        <v>164.5</v>
      </c>
      <c r="I12" t="s">
        <v>6</v>
      </c>
      <c r="J12" s="20" t="s">
        <v>67</v>
      </c>
      <c r="K12" s="17">
        <v>1165</v>
      </c>
    </row>
    <row r="13" spans="1:12" ht="16.5" customHeight="1" x14ac:dyDescent="0.25">
      <c r="C13" s="27"/>
      <c r="D13" s="20"/>
      <c r="G13" s="27"/>
    </row>
    <row r="14" spans="1:12" ht="42.6" customHeight="1" x14ac:dyDescent="0.25">
      <c r="C14" s="27" t="s">
        <v>102</v>
      </c>
      <c r="D14" s="16" t="s">
        <v>101</v>
      </c>
      <c r="G14" s="27" t="s">
        <v>54</v>
      </c>
      <c r="H14" s="5">
        <f>H12-H10</f>
        <v>41.5</v>
      </c>
      <c r="K14" s="5">
        <f>K12-K10</f>
        <v>135.5</v>
      </c>
    </row>
    <row r="15" spans="1:12" ht="32.450000000000003" customHeight="1" x14ac:dyDescent="0.25">
      <c r="C15" s="27"/>
      <c r="G15" s="27"/>
    </row>
    <row r="16" spans="1:12" ht="30" x14ac:dyDescent="0.25">
      <c r="C16" s="27" t="s">
        <v>0</v>
      </c>
      <c r="D16" s="14"/>
      <c r="G16" s="26" t="s">
        <v>55</v>
      </c>
      <c r="H16" s="42" t="s">
        <v>119</v>
      </c>
      <c r="I16" s="43"/>
      <c r="J16" s="43"/>
      <c r="K16" s="43"/>
      <c r="L16" s="44"/>
    </row>
    <row r="17" spans="2:7" x14ac:dyDescent="0.25">
      <c r="C17" s="27" t="s">
        <v>33</v>
      </c>
      <c r="D17" s="15"/>
    </row>
    <row r="18" spans="2:7" x14ac:dyDescent="0.25">
      <c r="C18" s="27" t="s">
        <v>34</v>
      </c>
      <c r="D18" s="15"/>
    </row>
    <row r="19" spans="2:7" x14ac:dyDescent="0.25">
      <c r="C19" s="27"/>
      <c r="D19" s="4"/>
    </row>
    <row r="20" spans="2:7" x14ac:dyDescent="0.25">
      <c r="C20" s="27" t="s">
        <v>1</v>
      </c>
      <c r="D20" s="14"/>
    </row>
    <row r="21" spans="2:7" x14ac:dyDescent="0.25">
      <c r="C21" s="27"/>
      <c r="D21" s="4"/>
    </row>
    <row r="22" spans="2:7" ht="30" x14ac:dyDescent="0.25">
      <c r="C22" s="26" t="s">
        <v>35</v>
      </c>
      <c r="D22" s="16" t="s">
        <v>21</v>
      </c>
    </row>
    <row r="23" spans="2:7" x14ac:dyDescent="0.25">
      <c r="C23" s="27"/>
      <c r="D23" s="4"/>
    </row>
    <row r="24" spans="2:7" ht="30" x14ac:dyDescent="0.25">
      <c r="C24" s="26" t="s">
        <v>36</v>
      </c>
      <c r="D24" s="16" t="s">
        <v>16</v>
      </c>
    </row>
    <row r="25" spans="2:7" x14ac:dyDescent="0.25">
      <c r="C25" s="27"/>
      <c r="D25" s="4"/>
    </row>
    <row r="26" spans="2:7" ht="30" x14ac:dyDescent="0.25">
      <c r="C26" s="26" t="s">
        <v>65</v>
      </c>
      <c r="D26" s="14" t="s">
        <v>107</v>
      </c>
    </row>
    <row r="28" spans="2:7" ht="30" x14ac:dyDescent="0.25">
      <c r="C28" s="26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3</v>
      </c>
      <c r="F36" s="4" t="str">
        <f>IFERROR(VLOOKUP(E36,REF!$B$2:$C$6,2,0),"")</f>
        <v>Défaillance majeure à traiter</v>
      </c>
      <c r="G36" s="18" t="s">
        <v>114</v>
      </c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2</v>
      </c>
      <c r="F39" s="4" t="str">
        <f>IFERROR(VLOOKUP(E39,REF!$B$2:$C$6,2,0),"")</f>
        <v>Alertes mineures</v>
      </c>
      <c r="G39" s="18" t="s">
        <v>115</v>
      </c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 t="s">
        <v>110</v>
      </c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45" x14ac:dyDescent="0.25">
      <c r="B45" t="s">
        <v>78</v>
      </c>
      <c r="C45" s="37" t="s">
        <v>46</v>
      </c>
      <c r="D45" s="39"/>
      <c r="E45" s="17">
        <v>2</v>
      </c>
      <c r="F45" s="4" t="str">
        <f>IFERROR(VLOOKUP(E45,REF!$B$2:$C$6,2,0),"")</f>
        <v>Alertes mineures</v>
      </c>
      <c r="G45" s="18" t="s">
        <v>111</v>
      </c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4</v>
      </c>
      <c r="F47" s="4" t="str">
        <f>IFERROR(VLOOKUP(E47,REF!$B$2:$C$6,2,0),"")</f>
        <v>Situation de crise</v>
      </c>
      <c r="G47" s="18" t="s">
        <v>117</v>
      </c>
      <c r="I47" s="13"/>
    </row>
    <row r="48" spans="2:10" ht="36" customHeight="1" x14ac:dyDescent="0.25">
      <c r="B48" t="s">
        <v>81</v>
      </c>
      <c r="C48" s="37" t="s">
        <v>49</v>
      </c>
      <c r="D48" s="39"/>
      <c r="E48" s="17">
        <v>1</v>
      </c>
      <c r="F48" s="4" t="str">
        <f>IFERROR(VLOOKUP(E48,REF!$B$2:$C$6,2,0),"")</f>
        <v>Situation conforme</v>
      </c>
      <c r="G48" s="18"/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120</v>
      </c>
      <c r="I51" s="13"/>
    </row>
    <row r="52" spans="2:9" ht="36" customHeight="1" x14ac:dyDescent="0.25">
      <c r="C52" s="36"/>
      <c r="D52" s="36"/>
    </row>
  </sheetData>
  <mergeCells count="19">
    <mergeCell ref="C39:D39"/>
    <mergeCell ref="A2:L2"/>
    <mergeCell ref="H16:L16"/>
    <mergeCell ref="C36:D36"/>
    <mergeCell ref="C37:D37"/>
    <mergeCell ref="C38:D38"/>
    <mergeCell ref="C52:D52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50:D50"/>
    <mergeCell ref="C51:D51"/>
    <mergeCell ref="C49:D49"/>
  </mergeCells>
  <conditionalFormatting sqref="E36:E48 E50:E69">
    <cfRule type="cellIs" dxfId="109" priority="6" operator="equal">
      <formula>"NA"</formula>
    </cfRule>
    <cfRule type="cellIs" dxfId="108" priority="8" operator="equal">
      <formula>4</formula>
    </cfRule>
    <cfRule type="cellIs" dxfId="107" priority="9" operator="equal">
      <formula>3</formula>
    </cfRule>
    <cfRule type="cellIs" dxfId="106" priority="10" operator="equal">
      <formula>2</formula>
    </cfRule>
    <cfRule type="cellIs" dxfId="105" priority="11" operator="equal">
      <formula>1</formula>
    </cfRule>
  </conditionalFormatting>
  <conditionalFormatting sqref="E49">
    <cfRule type="cellIs" dxfId="104" priority="1" operator="equal">
      <formula>"NA"</formula>
    </cfRule>
    <cfRule type="cellIs" dxfId="103" priority="2" operator="equal">
      <formula>4</formula>
    </cfRule>
    <cfRule type="cellIs" dxfId="102" priority="3" operator="equal">
      <formula>3</formula>
    </cfRule>
    <cfRule type="cellIs" dxfId="101" priority="4" operator="equal">
      <formula>2</formula>
    </cfRule>
    <cfRule type="cellIs" dxfId="100" priority="5" operator="equal">
      <formula>1</formula>
    </cfRule>
  </conditionalFormatting>
  <conditionalFormatting sqref="I36:I51">
    <cfRule type="iconSet" priority="17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REF!$F$10:$F$11</xm:f>
          </x14:formula1>
          <xm:sqref>D12 D14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2:L52"/>
  <sheetViews>
    <sheetView showGridLines="0" zoomScale="70" zoomScaleNormal="70" workbookViewId="0">
      <selection sqref="A1:XFD1048576"/>
    </sheetView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5" t="s">
        <v>4</v>
      </c>
      <c r="I5" s="25" t="s">
        <v>5</v>
      </c>
    </row>
    <row r="6" spans="1:12" ht="23.45" customHeight="1" x14ac:dyDescent="0.25">
      <c r="C6" s="27" t="s">
        <v>31</v>
      </c>
      <c r="D6" s="14" t="s">
        <v>106</v>
      </c>
      <c r="G6" s="27" t="s">
        <v>50</v>
      </c>
      <c r="H6" s="17">
        <v>8</v>
      </c>
      <c r="I6" s="17">
        <v>2023</v>
      </c>
    </row>
    <row r="7" spans="1:12" ht="12.6" customHeight="1" x14ac:dyDescent="0.25">
      <c r="C7" s="27"/>
      <c r="D7" s="4"/>
      <c r="G7" s="27"/>
      <c r="H7" s="24"/>
      <c r="I7" s="24"/>
    </row>
    <row r="8" spans="1:12" ht="33.75" customHeight="1" x14ac:dyDescent="0.25">
      <c r="C8" s="27" t="s">
        <v>87</v>
      </c>
      <c r="D8" s="14" t="s">
        <v>89</v>
      </c>
      <c r="E8" s="3" t="s">
        <v>121</v>
      </c>
      <c r="F8" s="16" t="s">
        <v>122</v>
      </c>
      <c r="G8" s="27" t="s">
        <v>51</v>
      </c>
      <c r="H8" s="17">
        <v>11</v>
      </c>
      <c r="I8" s="4"/>
      <c r="J8" s="1" t="s">
        <v>68</v>
      </c>
      <c r="K8" s="17">
        <v>1</v>
      </c>
    </row>
    <row r="9" spans="1:12" x14ac:dyDescent="0.25">
      <c r="C9" s="27"/>
    </row>
    <row r="10" spans="1:12" ht="42.6" customHeight="1" x14ac:dyDescent="0.25">
      <c r="C10" s="27" t="s">
        <v>32</v>
      </c>
      <c r="D10" s="16" t="s">
        <v>113</v>
      </c>
      <c r="G10" s="26" t="s">
        <v>52</v>
      </c>
      <c r="H10" s="17">
        <v>132.25</v>
      </c>
      <c r="I10" t="s">
        <v>6</v>
      </c>
      <c r="J10" s="1" t="s">
        <v>66</v>
      </c>
      <c r="K10" s="17">
        <v>1161.75</v>
      </c>
    </row>
    <row r="11" spans="1:12" ht="16.5" customHeight="1" x14ac:dyDescent="0.25">
      <c r="C11" s="27"/>
      <c r="D11" s="20"/>
      <c r="G11" s="27"/>
    </row>
    <row r="12" spans="1:12" ht="42.6" customHeight="1" x14ac:dyDescent="0.25">
      <c r="C12" s="26" t="s">
        <v>99</v>
      </c>
      <c r="D12" s="16" t="s">
        <v>100</v>
      </c>
      <c r="G12" s="26" t="s">
        <v>53</v>
      </c>
      <c r="H12" s="17">
        <v>135.5</v>
      </c>
      <c r="I12" t="s">
        <v>6</v>
      </c>
      <c r="J12" s="20" t="s">
        <v>67</v>
      </c>
      <c r="K12" s="17">
        <v>1300.5</v>
      </c>
    </row>
    <row r="13" spans="1:12" ht="16.5" customHeight="1" x14ac:dyDescent="0.25">
      <c r="C13" s="27"/>
      <c r="D13" s="20"/>
      <c r="G13" s="27"/>
    </row>
    <row r="14" spans="1:12" ht="42.6" customHeight="1" x14ac:dyDescent="0.25">
      <c r="C14" s="27" t="s">
        <v>102</v>
      </c>
      <c r="D14" s="16" t="s">
        <v>101</v>
      </c>
      <c r="G14" s="27" t="s">
        <v>54</v>
      </c>
      <c r="H14" s="5">
        <f>H12-H10</f>
        <v>3.25</v>
      </c>
      <c r="K14" s="5">
        <f>K12-K10</f>
        <v>138.75</v>
      </c>
    </row>
    <row r="15" spans="1:12" ht="32.450000000000003" customHeight="1" x14ac:dyDescent="0.25">
      <c r="C15" s="27"/>
      <c r="G15" s="27"/>
    </row>
    <row r="16" spans="1:12" ht="30" x14ac:dyDescent="0.25">
      <c r="C16" s="27" t="s">
        <v>0</v>
      </c>
      <c r="D16" s="14"/>
      <c r="G16" s="26" t="s">
        <v>55</v>
      </c>
      <c r="H16" s="42" t="s">
        <v>118</v>
      </c>
      <c r="I16" s="43"/>
      <c r="J16" s="43"/>
      <c r="K16" s="43"/>
      <c r="L16" s="44"/>
    </row>
    <row r="17" spans="2:7" x14ac:dyDescent="0.25">
      <c r="C17" s="27" t="s">
        <v>33</v>
      </c>
      <c r="D17" s="15"/>
    </row>
    <row r="18" spans="2:7" x14ac:dyDescent="0.25">
      <c r="C18" s="27" t="s">
        <v>34</v>
      </c>
      <c r="D18" s="15"/>
    </row>
    <row r="19" spans="2:7" x14ac:dyDescent="0.25">
      <c r="C19" s="27"/>
      <c r="D19" s="4"/>
    </row>
    <row r="20" spans="2:7" x14ac:dyDescent="0.25">
      <c r="C20" s="27" t="s">
        <v>1</v>
      </c>
      <c r="D20" s="14"/>
    </row>
    <row r="21" spans="2:7" x14ac:dyDescent="0.25">
      <c r="C21" s="27"/>
      <c r="D21" s="4"/>
    </row>
    <row r="22" spans="2:7" ht="30" x14ac:dyDescent="0.25">
      <c r="C22" s="26" t="s">
        <v>35</v>
      </c>
      <c r="D22" s="16" t="s">
        <v>21</v>
      </c>
    </row>
    <row r="23" spans="2:7" x14ac:dyDescent="0.25">
      <c r="C23" s="27"/>
      <c r="D23" s="4"/>
    </row>
    <row r="24" spans="2:7" ht="30" x14ac:dyDescent="0.25">
      <c r="C24" s="26" t="s">
        <v>36</v>
      </c>
      <c r="D24" s="16" t="s">
        <v>16</v>
      </c>
    </row>
    <row r="25" spans="2:7" x14ac:dyDescent="0.25">
      <c r="C25" s="27"/>
      <c r="D25" s="4"/>
    </row>
    <row r="26" spans="2:7" ht="30" x14ac:dyDescent="0.25">
      <c r="C26" s="26" t="s">
        <v>65</v>
      </c>
      <c r="D26" s="14" t="s">
        <v>107</v>
      </c>
    </row>
    <row r="28" spans="2:7" ht="30" x14ac:dyDescent="0.25">
      <c r="C28" s="26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3</v>
      </c>
      <c r="F36" s="4" t="str">
        <f>IFERROR(VLOOKUP(E36,REF!$B$2:$C$6,2,0),"")</f>
        <v>Défaillance majeure à traiter</v>
      </c>
      <c r="G36" s="18" t="s">
        <v>114</v>
      </c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2</v>
      </c>
      <c r="F39" s="4" t="str">
        <f>IFERROR(VLOOKUP(E39,REF!$B$2:$C$6,2,0),"")</f>
        <v>Alertes mineures</v>
      </c>
      <c r="G39" s="18" t="s">
        <v>115</v>
      </c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 t="s">
        <v>110</v>
      </c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45" x14ac:dyDescent="0.25">
      <c r="B45" t="s">
        <v>78</v>
      </c>
      <c r="C45" s="37" t="s">
        <v>46</v>
      </c>
      <c r="D45" s="39"/>
      <c r="E45" s="17">
        <v>2</v>
      </c>
      <c r="F45" s="4" t="str">
        <f>IFERROR(VLOOKUP(E45,REF!$B$2:$C$6,2,0),"")</f>
        <v>Alertes mineures</v>
      </c>
      <c r="G45" s="18" t="s">
        <v>111</v>
      </c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4</v>
      </c>
      <c r="F47" s="4" t="str">
        <f>IFERROR(VLOOKUP(E47,REF!$B$2:$C$6,2,0),"")</f>
        <v>Situation de crise</v>
      </c>
      <c r="G47" s="18" t="s">
        <v>117</v>
      </c>
      <c r="I47" s="13"/>
    </row>
    <row r="48" spans="2:10" ht="36" customHeight="1" x14ac:dyDescent="0.25">
      <c r="B48" t="s">
        <v>81</v>
      </c>
      <c r="C48" s="37" t="s">
        <v>49</v>
      </c>
      <c r="D48" s="39"/>
      <c r="E48" s="17">
        <v>1</v>
      </c>
      <c r="F48" s="4" t="str">
        <f>IFERROR(VLOOKUP(E48,REF!$B$2:$C$6,2,0),"")</f>
        <v>Situation conforme</v>
      </c>
      <c r="G48" s="18"/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120</v>
      </c>
      <c r="I51" s="13"/>
    </row>
    <row r="52" spans="2:9" ht="36" customHeight="1" x14ac:dyDescent="0.25">
      <c r="C52" s="36"/>
      <c r="D52" s="36"/>
    </row>
  </sheetData>
  <mergeCells count="19">
    <mergeCell ref="C52:D52"/>
    <mergeCell ref="C46:D46"/>
    <mergeCell ref="C47:D47"/>
    <mergeCell ref="C48:D48"/>
    <mergeCell ref="C49:D49"/>
    <mergeCell ref="C50:D50"/>
    <mergeCell ref="C51:D51"/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conditionalFormatting sqref="E36:E48 E50:E69">
    <cfRule type="cellIs" dxfId="99" priority="6" operator="equal">
      <formula>"NA"</formula>
    </cfRule>
    <cfRule type="cellIs" dxfId="98" priority="7" operator="equal">
      <formula>4</formula>
    </cfRule>
    <cfRule type="cellIs" dxfId="97" priority="8" operator="equal">
      <formula>3</formula>
    </cfRule>
    <cfRule type="cellIs" dxfId="96" priority="9" operator="equal">
      <formula>2</formula>
    </cfRule>
    <cfRule type="cellIs" dxfId="95" priority="10" operator="equal">
      <formula>1</formula>
    </cfRule>
  </conditionalFormatting>
  <conditionalFormatting sqref="E49">
    <cfRule type="cellIs" dxfId="94" priority="1" operator="equal">
      <formula>"NA"</formula>
    </cfRule>
    <cfRule type="cellIs" dxfId="93" priority="2" operator="equal">
      <formula>4</formula>
    </cfRule>
    <cfRule type="cellIs" dxfId="92" priority="3" operator="equal">
      <formula>3</formula>
    </cfRule>
    <cfRule type="cellIs" dxfId="91" priority="4" operator="equal">
      <formula>2</formula>
    </cfRule>
    <cfRule type="cellIs" dxfId="9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REF!$F$10:$F$11</xm:f>
          </x14:formula1>
          <xm:sqref>D12 D14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52"/>
  <sheetViews>
    <sheetView workbookViewId="0">
      <selection sqref="A1:XFD1048576"/>
    </sheetView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5" t="s">
        <v>4</v>
      </c>
      <c r="I5" s="25" t="s">
        <v>5</v>
      </c>
    </row>
    <row r="6" spans="1:12" ht="23.45" customHeight="1" x14ac:dyDescent="0.25">
      <c r="C6" s="27" t="s">
        <v>31</v>
      </c>
      <c r="D6" s="14" t="s">
        <v>106</v>
      </c>
      <c r="G6" s="27" t="s">
        <v>50</v>
      </c>
      <c r="H6" s="17">
        <v>9</v>
      </c>
      <c r="I6" s="17">
        <v>2023</v>
      </c>
    </row>
    <row r="7" spans="1:12" ht="12.6" customHeight="1" x14ac:dyDescent="0.25">
      <c r="C7" s="27"/>
      <c r="D7" s="4"/>
      <c r="G7" s="27"/>
      <c r="H7" s="24"/>
      <c r="I7" s="24"/>
    </row>
    <row r="8" spans="1:12" ht="33.75" customHeight="1" x14ac:dyDescent="0.25">
      <c r="C8" s="27" t="s">
        <v>87</v>
      </c>
      <c r="D8" s="14" t="s">
        <v>89</v>
      </c>
      <c r="E8" s="3" t="s">
        <v>121</v>
      </c>
      <c r="F8" s="16" t="s">
        <v>122</v>
      </c>
      <c r="G8" s="27" t="s">
        <v>51</v>
      </c>
      <c r="H8" s="17">
        <v>11</v>
      </c>
      <c r="I8" s="4"/>
      <c r="J8" s="1" t="s">
        <v>68</v>
      </c>
      <c r="K8" s="17">
        <v>0</v>
      </c>
    </row>
    <row r="9" spans="1:12" x14ac:dyDescent="0.25">
      <c r="C9" s="27"/>
    </row>
    <row r="10" spans="1:12" ht="42.6" customHeight="1" x14ac:dyDescent="0.25">
      <c r="C10" s="27" t="s">
        <v>32</v>
      </c>
      <c r="D10" s="16" t="s">
        <v>113</v>
      </c>
      <c r="G10" s="26" t="s">
        <v>52</v>
      </c>
      <c r="H10" s="17">
        <v>181</v>
      </c>
      <c r="I10" t="s">
        <v>6</v>
      </c>
      <c r="J10" s="1" t="s">
        <v>66</v>
      </c>
      <c r="K10" s="17">
        <v>1342.75</v>
      </c>
    </row>
    <row r="11" spans="1:12" ht="16.5" customHeight="1" x14ac:dyDescent="0.25">
      <c r="C11" s="27"/>
      <c r="D11" s="20"/>
      <c r="G11" s="27"/>
    </row>
    <row r="12" spans="1:12" ht="42.6" customHeight="1" x14ac:dyDescent="0.25">
      <c r="C12" s="26" t="s">
        <v>99</v>
      </c>
      <c r="D12" s="16" t="s">
        <v>100</v>
      </c>
      <c r="G12" s="26" t="s">
        <v>53</v>
      </c>
      <c r="H12" s="17">
        <v>168</v>
      </c>
      <c r="I12" t="s">
        <v>6</v>
      </c>
      <c r="J12" s="20" t="s">
        <v>67</v>
      </c>
      <c r="K12" s="17">
        <v>1468.5</v>
      </c>
    </row>
    <row r="13" spans="1:12" ht="16.5" customHeight="1" x14ac:dyDescent="0.25">
      <c r="C13" s="27"/>
      <c r="D13" s="20"/>
      <c r="G13" s="27"/>
    </row>
    <row r="14" spans="1:12" ht="42.6" customHeight="1" x14ac:dyDescent="0.25">
      <c r="C14" s="27" t="s">
        <v>102</v>
      </c>
      <c r="D14" s="16" t="s">
        <v>101</v>
      </c>
      <c r="G14" s="27" t="s">
        <v>54</v>
      </c>
      <c r="H14" s="5">
        <f>H12-H10</f>
        <v>-13</v>
      </c>
      <c r="K14" s="5">
        <f>K12-K10</f>
        <v>125.75</v>
      </c>
    </row>
    <row r="15" spans="1:12" ht="32.450000000000003" customHeight="1" x14ac:dyDescent="0.25">
      <c r="C15" s="27"/>
      <c r="G15" s="27"/>
    </row>
    <row r="16" spans="1:12" ht="30" x14ac:dyDescent="0.25">
      <c r="C16" s="27" t="s">
        <v>0</v>
      </c>
      <c r="D16" s="14"/>
      <c r="G16" s="26" t="s">
        <v>55</v>
      </c>
      <c r="H16" s="42" t="s">
        <v>118</v>
      </c>
      <c r="I16" s="43"/>
      <c r="J16" s="43"/>
      <c r="K16" s="43"/>
      <c r="L16" s="44"/>
    </row>
    <row r="17" spans="2:7" x14ac:dyDescent="0.25">
      <c r="C17" s="27" t="s">
        <v>33</v>
      </c>
      <c r="D17" s="15"/>
    </row>
    <row r="18" spans="2:7" x14ac:dyDescent="0.25">
      <c r="C18" s="27" t="s">
        <v>34</v>
      </c>
      <c r="D18" s="15"/>
    </row>
    <row r="19" spans="2:7" x14ac:dyDescent="0.25">
      <c r="C19" s="27"/>
      <c r="D19" s="4"/>
    </row>
    <row r="20" spans="2:7" x14ac:dyDescent="0.25">
      <c r="C20" s="27" t="s">
        <v>1</v>
      </c>
      <c r="D20" s="14"/>
    </row>
    <row r="21" spans="2:7" x14ac:dyDescent="0.25">
      <c r="C21" s="27"/>
      <c r="D21" s="4"/>
    </row>
    <row r="22" spans="2:7" ht="30" x14ac:dyDescent="0.25">
      <c r="C22" s="26" t="s">
        <v>35</v>
      </c>
      <c r="D22" s="16" t="s">
        <v>21</v>
      </c>
    </row>
    <row r="23" spans="2:7" x14ac:dyDescent="0.25">
      <c r="C23" s="27"/>
      <c r="D23" s="4"/>
    </row>
    <row r="24" spans="2:7" ht="30" x14ac:dyDescent="0.25">
      <c r="C24" s="26" t="s">
        <v>36</v>
      </c>
      <c r="D24" s="16" t="s">
        <v>16</v>
      </c>
    </row>
    <row r="25" spans="2:7" x14ac:dyDescent="0.25">
      <c r="C25" s="27"/>
      <c r="D25" s="4"/>
    </row>
    <row r="26" spans="2:7" ht="30" x14ac:dyDescent="0.25">
      <c r="C26" s="26" t="s">
        <v>65</v>
      </c>
      <c r="D26" s="14" t="s">
        <v>107</v>
      </c>
    </row>
    <row r="28" spans="2:7" ht="30" x14ac:dyDescent="0.25">
      <c r="C28" s="26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3</v>
      </c>
      <c r="F36" s="4" t="str">
        <f>IFERROR(VLOOKUP(E36,REF!$B$2:$C$6,2,0),"")</f>
        <v>Défaillance majeure à traiter</v>
      </c>
      <c r="G36" s="18" t="s">
        <v>114</v>
      </c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2</v>
      </c>
      <c r="F39" s="4" t="str">
        <f>IFERROR(VLOOKUP(E39,REF!$B$2:$C$6,2,0),"")</f>
        <v>Alertes mineures</v>
      </c>
      <c r="G39" s="18" t="s">
        <v>115</v>
      </c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 t="s">
        <v>110</v>
      </c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45" x14ac:dyDescent="0.25">
      <c r="B45" t="s">
        <v>78</v>
      </c>
      <c r="C45" s="37" t="s">
        <v>46</v>
      </c>
      <c r="D45" s="39"/>
      <c r="E45" s="17">
        <v>2</v>
      </c>
      <c r="F45" s="4" t="str">
        <f>IFERROR(VLOOKUP(E45,REF!$B$2:$C$6,2,0),"")</f>
        <v>Alertes mineures</v>
      </c>
      <c r="G45" s="18" t="s">
        <v>111</v>
      </c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4</v>
      </c>
      <c r="F47" s="4" t="str">
        <f>IFERROR(VLOOKUP(E47,REF!$B$2:$C$6,2,0),"")</f>
        <v>Situation de crise</v>
      </c>
      <c r="G47" s="18" t="s">
        <v>117</v>
      </c>
      <c r="I47" s="13"/>
    </row>
    <row r="48" spans="2:10" ht="36" customHeight="1" x14ac:dyDescent="0.25">
      <c r="B48" t="s">
        <v>81</v>
      </c>
      <c r="C48" s="37" t="s">
        <v>49</v>
      </c>
      <c r="D48" s="39"/>
      <c r="E48" s="17">
        <v>1</v>
      </c>
      <c r="F48" s="4" t="str">
        <f>IFERROR(VLOOKUP(E48,REF!$B$2:$C$6,2,0),"")</f>
        <v>Situation conforme</v>
      </c>
      <c r="G48" s="18"/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123</v>
      </c>
      <c r="I51" s="13"/>
    </row>
    <row r="52" spans="2:9" ht="36" customHeight="1" x14ac:dyDescent="0.25">
      <c r="C52" s="36"/>
      <c r="D52" s="36"/>
    </row>
  </sheetData>
  <mergeCells count="19">
    <mergeCell ref="C52:D52"/>
    <mergeCell ref="C46:D46"/>
    <mergeCell ref="C47:D47"/>
    <mergeCell ref="C48:D48"/>
    <mergeCell ref="C49:D49"/>
    <mergeCell ref="C50:D50"/>
    <mergeCell ref="C51:D51"/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conditionalFormatting sqref="E36:E48 E50:E69">
    <cfRule type="cellIs" dxfId="89" priority="6" operator="equal">
      <formula>"NA"</formula>
    </cfRule>
    <cfRule type="cellIs" dxfId="88" priority="7" operator="equal">
      <formula>4</formula>
    </cfRule>
    <cfRule type="cellIs" dxfId="87" priority="8" operator="equal">
      <formula>3</formula>
    </cfRule>
    <cfRule type="cellIs" dxfId="86" priority="9" operator="equal">
      <formula>2</formula>
    </cfRule>
    <cfRule type="cellIs" dxfId="85" priority="10" operator="equal">
      <formula>1</formula>
    </cfRule>
  </conditionalFormatting>
  <conditionalFormatting sqref="E49">
    <cfRule type="cellIs" dxfId="84" priority="1" operator="equal">
      <formula>"NA"</formula>
    </cfRule>
    <cfRule type="cellIs" dxfId="83" priority="2" operator="equal">
      <formula>4</formula>
    </cfRule>
    <cfRule type="cellIs" dxfId="82" priority="3" operator="equal">
      <formula>3</formula>
    </cfRule>
    <cfRule type="cellIs" dxfId="81" priority="4" operator="equal">
      <formula>2</formula>
    </cfRule>
    <cfRule type="cellIs" dxfId="8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REF!$F$10:$F$11</xm:f>
          </x14:formula1>
          <xm:sqref>D12 D14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52"/>
  <sheetViews>
    <sheetView workbookViewId="0">
      <selection sqref="A1:XFD1048576"/>
    </sheetView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5" t="s">
        <v>4</v>
      </c>
      <c r="I5" s="25" t="s">
        <v>5</v>
      </c>
    </row>
    <row r="6" spans="1:12" ht="23.45" customHeight="1" x14ac:dyDescent="0.25">
      <c r="C6" s="27" t="s">
        <v>31</v>
      </c>
      <c r="D6" s="14" t="s">
        <v>106</v>
      </c>
      <c r="G6" s="27" t="s">
        <v>50</v>
      </c>
      <c r="H6" s="17">
        <v>10</v>
      </c>
      <c r="I6" s="17">
        <v>2023</v>
      </c>
    </row>
    <row r="7" spans="1:12" ht="12.6" customHeight="1" x14ac:dyDescent="0.25">
      <c r="C7" s="27"/>
      <c r="D7" s="4"/>
      <c r="G7" s="27"/>
      <c r="H7" s="24"/>
      <c r="I7" s="24"/>
    </row>
    <row r="8" spans="1:12" ht="33.75" customHeight="1" x14ac:dyDescent="0.25">
      <c r="C8" s="27" t="s">
        <v>87</v>
      </c>
      <c r="D8" s="14" t="s">
        <v>89</v>
      </c>
      <c r="E8" s="3" t="s">
        <v>121</v>
      </c>
      <c r="F8" s="16" t="s">
        <v>122</v>
      </c>
      <c r="G8" s="27" t="s">
        <v>51</v>
      </c>
      <c r="H8" s="17">
        <v>12</v>
      </c>
      <c r="I8" s="4"/>
      <c r="J8" s="1" t="s">
        <v>68</v>
      </c>
      <c r="K8" s="17">
        <v>0</v>
      </c>
    </row>
    <row r="9" spans="1:12" x14ac:dyDescent="0.25">
      <c r="C9" s="27"/>
    </row>
    <row r="10" spans="1:12" ht="42.6" customHeight="1" x14ac:dyDescent="0.25">
      <c r="C10" s="27" t="s">
        <v>32</v>
      </c>
      <c r="D10" s="16" t="s">
        <v>113</v>
      </c>
      <c r="G10" s="26" t="s">
        <v>52</v>
      </c>
      <c r="H10" s="17">
        <v>217.25</v>
      </c>
      <c r="I10" t="s">
        <v>6</v>
      </c>
      <c r="J10" s="1" t="s">
        <v>66</v>
      </c>
      <c r="K10" s="17">
        <v>1560</v>
      </c>
    </row>
    <row r="11" spans="1:12" ht="16.5" customHeight="1" x14ac:dyDescent="0.25">
      <c r="C11" s="27"/>
      <c r="D11" s="20"/>
      <c r="G11" s="27"/>
    </row>
    <row r="12" spans="1:12" ht="42.6" customHeight="1" x14ac:dyDescent="0.25">
      <c r="C12" s="26" t="s">
        <v>99</v>
      </c>
      <c r="D12" s="16" t="s">
        <v>100</v>
      </c>
      <c r="G12" s="26" t="s">
        <v>53</v>
      </c>
      <c r="H12" s="17">
        <v>223</v>
      </c>
      <c r="I12" t="s">
        <v>6</v>
      </c>
      <c r="J12" s="20" t="s">
        <v>67</v>
      </c>
      <c r="K12" s="17">
        <v>1691.5</v>
      </c>
    </row>
    <row r="13" spans="1:12" ht="16.5" customHeight="1" x14ac:dyDescent="0.25">
      <c r="C13" s="27"/>
      <c r="D13" s="20"/>
      <c r="G13" s="27"/>
    </row>
    <row r="14" spans="1:12" ht="42.6" customHeight="1" x14ac:dyDescent="0.25">
      <c r="C14" s="27" t="s">
        <v>102</v>
      </c>
      <c r="D14" s="16" t="s">
        <v>101</v>
      </c>
      <c r="G14" s="27" t="s">
        <v>54</v>
      </c>
      <c r="H14" s="5">
        <f>H12-H10</f>
        <v>5.75</v>
      </c>
      <c r="K14" s="5">
        <f>K12-K10</f>
        <v>131.5</v>
      </c>
    </row>
    <row r="15" spans="1:12" ht="32.450000000000003" customHeight="1" x14ac:dyDescent="0.25">
      <c r="C15" s="27"/>
      <c r="G15" s="27"/>
    </row>
    <row r="16" spans="1:12" ht="30" x14ac:dyDescent="0.25">
      <c r="C16" s="27" t="s">
        <v>0</v>
      </c>
      <c r="D16" s="14"/>
      <c r="G16" s="26" t="s">
        <v>55</v>
      </c>
      <c r="H16" s="42" t="s">
        <v>124</v>
      </c>
      <c r="I16" s="43"/>
      <c r="J16" s="43"/>
      <c r="K16" s="43"/>
      <c r="L16" s="44"/>
    </row>
    <row r="17" spans="2:7" x14ac:dyDescent="0.25">
      <c r="C17" s="27" t="s">
        <v>33</v>
      </c>
      <c r="D17" s="15"/>
    </row>
    <row r="18" spans="2:7" x14ac:dyDescent="0.25">
      <c r="C18" s="27" t="s">
        <v>34</v>
      </c>
      <c r="D18" s="15"/>
    </row>
    <row r="19" spans="2:7" x14ac:dyDescent="0.25">
      <c r="C19" s="27"/>
      <c r="D19" s="4"/>
    </row>
    <row r="20" spans="2:7" x14ac:dyDescent="0.25">
      <c r="C20" s="27" t="s">
        <v>1</v>
      </c>
      <c r="D20" s="14"/>
    </row>
    <row r="21" spans="2:7" x14ac:dyDescent="0.25">
      <c r="C21" s="27"/>
      <c r="D21" s="4"/>
    </row>
    <row r="22" spans="2:7" ht="30" x14ac:dyDescent="0.25">
      <c r="C22" s="26" t="s">
        <v>35</v>
      </c>
      <c r="D22" s="16" t="s">
        <v>21</v>
      </c>
    </row>
    <row r="23" spans="2:7" x14ac:dyDescent="0.25">
      <c r="C23" s="27"/>
      <c r="D23" s="4"/>
    </row>
    <row r="24" spans="2:7" ht="30" x14ac:dyDescent="0.25">
      <c r="C24" s="26" t="s">
        <v>36</v>
      </c>
      <c r="D24" s="16" t="s">
        <v>16</v>
      </c>
    </row>
    <row r="25" spans="2:7" x14ac:dyDescent="0.25">
      <c r="C25" s="27"/>
      <c r="D25" s="4"/>
    </row>
    <row r="26" spans="2:7" ht="30" x14ac:dyDescent="0.25">
      <c r="C26" s="26" t="s">
        <v>65</v>
      </c>
      <c r="D26" s="14" t="s">
        <v>107</v>
      </c>
    </row>
    <row r="28" spans="2:7" ht="30" x14ac:dyDescent="0.25">
      <c r="C28" s="26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3</v>
      </c>
      <c r="F36" s="4" t="str">
        <f>IFERROR(VLOOKUP(E36,REF!$B$2:$C$6,2,0),"")</f>
        <v>Défaillance majeure à traiter</v>
      </c>
      <c r="G36" s="18" t="s">
        <v>114</v>
      </c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2</v>
      </c>
      <c r="F39" s="4" t="str">
        <f>IFERROR(VLOOKUP(E39,REF!$B$2:$C$6,2,0),"")</f>
        <v>Alertes mineures</v>
      </c>
      <c r="G39" s="18" t="s">
        <v>115</v>
      </c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 t="s">
        <v>110</v>
      </c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45" x14ac:dyDescent="0.25">
      <c r="B45" t="s">
        <v>78</v>
      </c>
      <c r="C45" s="37" t="s">
        <v>46</v>
      </c>
      <c r="D45" s="39"/>
      <c r="E45" s="17">
        <v>2</v>
      </c>
      <c r="F45" s="4" t="str">
        <f>IFERROR(VLOOKUP(E45,REF!$B$2:$C$6,2,0),"")</f>
        <v>Alertes mineures</v>
      </c>
      <c r="G45" s="18" t="s">
        <v>111</v>
      </c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4</v>
      </c>
      <c r="F47" s="4" t="str">
        <f>IFERROR(VLOOKUP(E47,REF!$B$2:$C$6,2,0),"")</f>
        <v>Situation de crise</v>
      </c>
      <c r="G47" s="18" t="s">
        <v>117</v>
      </c>
      <c r="I47" s="13"/>
    </row>
    <row r="48" spans="2:10" ht="36" customHeight="1" x14ac:dyDescent="0.25">
      <c r="B48" t="s">
        <v>81</v>
      </c>
      <c r="C48" s="37" t="s">
        <v>49</v>
      </c>
      <c r="D48" s="39"/>
      <c r="E48" s="17">
        <v>1</v>
      </c>
      <c r="F48" s="4" t="str">
        <f>IFERROR(VLOOKUP(E48,REF!$B$2:$C$6,2,0),"")</f>
        <v>Situation conforme</v>
      </c>
      <c r="G48" s="18"/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125</v>
      </c>
      <c r="I51" s="13"/>
    </row>
    <row r="52" spans="2:9" ht="36" customHeight="1" x14ac:dyDescent="0.25">
      <c r="C52" s="36"/>
      <c r="D52" s="36"/>
    </row>
  </sheetData>
  <mergeCells count="19"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2:D52"/>
    <mergeCell ref="C46:D46"/>
    <mergeCell ref="C47:D47"/>
    <mergeCell ref="C48:D48"/>
    <mergeCell ref="C49:D49"/>
    <mergeCell ref="C50:D50"/>
    <mergeCell ref="C51:D51"/>
  </mergeCells>
  <conditionalFormatting sqref="E36:E48 E50:E69">
    <cfRule type="cellIs" dxfId="79" priority="6" operator="equal">
      <formula>"NA"</formula>
    </cfRule>
    <cfRule type="cellIs" dxfId="78" priority="7" operator="equal">
      <formula>4</formula>
    </cfRule>
    <cfRule type="cellIs" dxfId="77" priority="8" operator="equal">
      <formula>3</formula>
    </cfRule>
    <cfRule type="cellIs" dxfId="76" priority="9" operator="equal">
      <formula>2</formula>
    </cfRule>
    <cfRule type="cellIs" dxfId="75" priority="10" operator="equal">
      <formula>1</formula>
    </cfRule>
  </conditionalFormatting>
  <conditionalFormatting sqref="E49">
    <cfRule type="cellIs" dxfId="74" priority="1" operator="equal">
      <formula>"NA"</formula>
    </cfRule>
    <cfRule type="cellIs" dxfId="73" priority="2" operator="equal">
      <formula>4</formula>
    </cfRule>
    <cfRule type="cellIs" dxfId="72" priority="3" operator="equal">
      <formula>3</formula>
    </cfRule>
    <cfRule type="cellIs" dxfId="71" priority="4" operator="equal">
      <formula>2</formula>
    </cfRule>
    <cfRule type="cellIs" dxfId="7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REF!$F$10:$F$11</xm:f>
          </x14:formula1>
          <xm:sqref>D12 D14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52"/>
  <sheetViews>
    <sheetView workbookViewId="0">
      <selection sqref="A1:XFD1048576"/>
    </sheetView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5" t="s">
        <v>4</v>
      </c>
      <c r="I5" s="25" t="s">
        <v>5</v>
      </c>
    </row>
    <row r="6" spans="1:12" ht="23.45" customHeight="1" x14ac:dyDescent="0.25">
      <c r="C6" s="27" t="s">
        <v>31</v>
      </c>
      <c r="D6" s="14" t="s">
        <v>106</v>
      </c>
      <c r="G6" s="27" t="s">
        <v>50</v>
      </c>
      <c r="H6" s="17">
        <v>11</v>
      </c>
      <c r="I6" s="17">
        <v>2023</v>
      </c>
    </row>
    <row r="7" spans="1:12" ht="12.6" customHeight="1" x14ac:dyDescent="0.25">
      <c r="C7" s="27"/>
      <c r="D7" s="4"/>
      <c r="G7" s="27"/>
      <c r="H7" s="24"/>
      <c r="I7" s="24"/>
    </row>
    <row r="8" spans="1:12" ht="33.75" customHeight="1" x14ac:dyDescent="0.25">
      <c r="C8" s="27" t="s">
        <v>87</v>
      </c>
      <c r="D8" s="14" t="s">
        <v>89</v>
      </c>
      <c r="E8" s="3" t="s">
        <v>121</v>
      </c>
      <c r="F8" s="16" t="s">
        <v>122</v>
      </c>
      <c r="G8" s="27" t="s">
        <v>51</v>
      </c>
      <c r="H8" s="17">
        <v>12</v>
      </c>
      <c r="I8" s="4"/>
      <c r="J8" s="1" t="s">
        <v>68</v>
      </c>
      <c r="K8" s="17">
        <v>0</v>
      </c>
    </row>
    <row r="9" spans="1:12" x14ac:dyDescent="0.25">
      <c r="C9" s="27"/>
    </row>
    <row r="10" spans="1:12" ht="42.6" customHeight="1" x14ac:dyDescent="0.25">
      <c r="C10" s="27" t="s">
        <v>32</v>
      </c>
      <c r="D10" s="16" t="s">
        <v>113</v>
      </c>
      <c r="G10" s="26" t="s">
        <v>52</v>
      </c>
      <c r="H10" s="17">
        <v>222.8</v>
      </c>
      <c r="I10" t="s">
        <v>6</v>
      </c>
      <c r="J10" s="1" t="s">
        <v>66</v>
      </c>
      <c r="K10" s="17">
        <v>1783</v>
      </c>
    </row>
    <row r="11" spans="1:12" ht="16.5" customHeight="1" x14ac:dyDescent="0.25">
      <c r="C11" s="27"/>
      <c r="D11" s="20"/>
      <c r="G11" s="27"/>
    </row>
    <row r="12" spans="1:12" ht="42.6" customHeight="1" x14ac:dyDescent="0.25">
      <c r="C12" s="26" t="s">
        <v>99</v>
      </c>
      <c r="D12" s="16" t="s">
        <v>100</v>
      </c>
      <c r="G12" s="26" t="s">
        <v>53</v>
      </c>
      <c r="H12" s="17">
        <v>216</v>
      </c>
      <c r="I12" t="s">
        <v>6</v>
      </c>
      <c r="J12" s="20" t="s">
        <v>67</v>
      </c>
      <c r="K12" s="17">
        <v>1908</v>
      </c>
    </row>
    <row r="13" spans="1:12" ht="16.5" customHeight="1" x14ac:dyDescent="0.25">
      <c r="C13" s="27"/>
      <c r="D13" s="20"/>
      <c r="G13" s="27"/>
    </row>
    <row r="14" spans="1:12" ht="42.6" customHeight="1" x14ac:dyDescent="0.25">
      <c r="C14" s="27" t="s">
        <v>102</v>
      </c>
      <c r="D14" s="16" t="s">
        <v>101</v>
      </c>
      <c r="G14" s="27" t="s">
        <v>54</v>
      </c>
      <c r="H14" s="5">
        <f>H12-H10</f>
        <v>-6.8000000000000114</v>
      </c>
      <c r="K14" s="5">
        <f>K12-K10</f>
        <v>125</v>
      </c>
    </row>
    <row r="15" spans="1:12" ht="32.450000000000003" customHeight="1" x14ac:dyDescent="0.25">
      <c r="C15" s="27"/>
      <c r="G15" s="27"/>
    </row>
    <row r="16" spans="1:12" ht="30" x14ac:dyDescent="0.25">
      <c r="C16" s="27" t="s">
        <v>0</v>
      </c>
      <c r="D16" s="14"/>
      <c r="G16" s="26" t="s">
        <v>55</v>
      </c>
      <c r="H16" s="42" t="s">
        <v>126</v>
      </c>
      <c r="I16" s="43"/>
      <c r="J16" s="43"/>
      <c r="K16" s="43"/>
      <c r="L16" s="44"/>
    </row>
    <row r="17" spans="2:7" x14ac:dyDescent="0.25">
      <c r="C17" s="27" t="s">
        <v>33</v>
      </c>
      <c r="D17" s="15"/>
    </row>
    <row r="18" spans="2:7" x14ac:dyDescent="0.25">
      <c r="C18" s="27" t="s">
        <v>34</v>
      </c>
      <c r="D18" s="15"/>
    </row>
    <row r="19" spans="2:7" x14ac:dyDescent="0.25">
      <c r="C19" s="27"/>
      <c r="D19" s="4"/>
    </row>
    <row r="20" spans="2:7" x14ac:dyDescent="0.25">
      <c r="C20" s="27" t="s">
        <v>1</v>
      </c>
      <c r="D20" s="14"/>
    </row>
    <row r="21" spans="2:7" x14ac:dyDescent="0.25">
      <c r="C21" s="27"/>
      <c r="D21" s="4"/>
    </row>
    <row r="22" spans="2:7" ht="30" x14ac:dyDescent="0.25">
      <c r="C22" s="26" t="s">
        <v>35</v>
      </c>
      <c r="D22" s="16" t="s">
        <v>21</v>
      </c>
    </row>
    <row r="23" spans="2:7" x14ac:dyDescent="0.25">
      <c r="C23" s="27"/>
      <c r="D23" s="4"/>
    </row>
    <row r="24" spans="2:7" ht="30" x14ac:dyDescent="0.25">
      <c r="C24" s="26" t="s">
        <v>36</v>
      </c>
      <c r="D24" s="16" t="s">
        <v>16</v>
      </c>
    </row>
    <row r="25" spans="2:7" x14ac:dyDescent="0.25">
      <c r="C25" s="27"/>
      <c r="D25" s="4"/>
    </row>
    <row r="26" spans="2:7" ht="30" x14ac:dyDescent="0.25">
      <c r="C26" s="26" t="s">
        <v>65</v>
      </c>
      <c r="D26" s="14" t="s">
        <v>107</v>
      </c>
    </row>
    <row r="28" spans="2:7" ht="30" x14ac:dyDescent="0.25">
      <c r="C28" s="26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1</v>
      </c>
      <c r="F36" s="4" t="str">
        <f>IFERROR(VLOOKUP(E36,REF!$B$2:$C$6,2,0),"")</f>
        <v>Situation conforme</v>
      </c>
      <c r="G36" s="18" t="s">
        <v>127</v>
      </c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1</v>
      </c>
      <c r="F39" s="4" t="str">
        <f>IFERROR(VLOOKUP(E39,REF!$B$2:$C$6,2,0),"")</f>
        <v>Situation conforme</v>
      </c>
      <c r="G39" s="18" t="s">
        <v>128</v>
      </c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 t="s">
        <v>110</v>
      </c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26.25" x14ac:dyDescent="0.25">
      <c r="B45" t="s">
        <v>78</v>
      </c>
      <c r="C45" s="37" t="s">
        <v>46</v>
      </c>
      <c r="D45" s="39"/>
      <c r="E45" s="17">
        <v>1</v>
      </c>
      <c r="F45" s="4" t="str">
        <f>IFERROR(VLOOKUP(E45,REF!$B$2:$C$6,2,0),"")</f>
        <v>Situation conforme</v>
      </c>
      <c r="G45" s="18" t="s">
        <v>129</v>
      </c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4</v>
      </c>
      <c r="F47" s="4" t="str">
        <f>IFERROR(VLOOKUP(E47,REF!$B$2:$C$6,2,0),"")</f>
        <v>Situation de crise</v>
      </c>
      <c r="G47" s="18" t="s">
        <v>117</v>
      </c>
      <c r="I47" s="13"/>
    </row>
    <row r="48" spans="2:10" ht="47.25" customHeight="1" x14ac:dyDescent="0.25">
      <c r="B48" t="s">
        <v>81</v>
      </c>
      <c r="C48" s="37" t="s">
        <v>49</v>
      </c>
      <c r="D48" s="39"/>
      <c r="E48" s="17">
        <v>2</v>
      </c>
      <c r="F48" s="4" t="str">
        <f>IFERROR(VLOOKUP(E48,REF!$B$2:$C$6,2,0),"")</f>
        <v>Alertes mineures</v>
      </c>
      <c r="G48" s="18" t="s">
        <v>130</v>
      </c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125</v>
      </c>
      <c r="I51" s="13"/>
    </row>
    <row r="52" spans="2:9" ht="36" customHeight="1" x14ac:dyDescent="0.25">
      <c r="C52" s="36"/>
      <c r="D52" s="36"/>
    </row>
  </sheetData>
  <mergeCells count="19"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2:D52"/>
    <mergeCell ref="C46:D46"/>
    <mergeCell ref="C47:D47"/>
    <mergeCell ref="C48:D48"/>
    <mergeCell ref="C49:D49"/>
    <mergeCell ref="C50:D50"/>
    <mergeCell ref="C51:D51"/>
  </mergeCells>
  <conditionalFormatting sqref="E36:E48 E50:E69">
    <cfRule type="cellIs" dxfId="69" priority="6" operator="equal">
      <formula>"NA"</formula>
    </cfRule>
    <cfRule type="cellIs" dxfId="68" priority="7" operator="equal">
      <formula>4</formula>
    </cfRule>
    <cfRule type="cellIs" dxfId="67" priority="8" operator="equal">
      <formula>3</formula>
    </cfRule>
    <cfRule type="cellIs" dxfId="66" priority="9" operator="equal">
      <formula>2</formula>
    </cfRule>
    <cfRule type="cellIs" dxfId="65" priority="10" operator="equal">
      <formula>1</formula>
    </cfRule>
  </conditionalFormatting>
  <conditionalFormatting sqref="E49">
    <cfRule type="cellIs" dxfId="64" priority="1" operator="equal">
      <formula>"NA"</formula>
    </cfRule>
    <cfRule type="cellIs" dxfId="63" priority="2" operator="equal">
      <formula>4</formula>
    </cfRule>
    <cfRule type="cellIs" dxfId="62" priority="3" operator="equal">
      <formula>3</formula>
    </cfRule>
    <cfRule type="cellIs" dxfId="61" priority="4" operator="equal">
      <formula>2</formula>
    </cfRule>
    <cfRule type="cellIs" dxfId="6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REF!$F$10:$F$11</xm:f>
          </x14:formula1>
          <xm:sqref>D12 D14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52"/>
  <sheetViews>
    <sheetView workbookViewId="0"/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5" t="s">
        <v>4</v>
      </c>
      <c r="I5" s="25" t="s">
        <v>5</v>
      </c>
    </row>
    <row r="6" spans="1:12" ht="23.45" customHeight="1" x14ac:dyDescent="0.25">
      <c r="C6" s="27" t="s">
        <v>31</v>
      </c>
      <c r="D6" s="14" t="s">
        <v>106</v>
      </c>
      <c r="G6" s="27" t="s">
        <v>50</v>
      </c>
      <c r="H6" s="17">
        <v>12</v>
      </c>
      <c r="I6" s="17">
        <v>2023</v>
      </c>
    </row>
    <row r="7" spans="1:12" ht="12.6" customHeight="1" x14ac:dyDescent="0.25">
      <c r="C7" s="27"/>
      <c r="D7" s="4"/>
      <c r="G7" s="27"/>
      <c r="H7" s="24"/>
      <c r="I7" s="24"/>
    </row>
    <row r="8" spans="1:12" ht="33.75" customHeight="1" x14ac:dyDescent="0.25">
      <c r="C8" s="27" t="s">
        <v>87</v>
      </c>
      <c r="D8" s="14" t="s">
        <v>89</v>
      </c>
      <c r="E8" s="3" t="s">
        <v>121</v>
      </c>
      <c r="F8" s="16" t="s">
        <v>122</v>
      </c>
      <c r="G8" s="27" t="s">
        <v>51</v>
      </c>
      <c r="H8" s="17">
        <v>12</v>
      </c>
      <c r="I8" s="4"/>
      <c r="J8" s="1" t="s">
        <v>68</v>
      </c>
      <c r="K8" s="17">
        <v>0</v>
      </c>
    </row>
    <row r="9" spans="1:12" x14ac:dyDescent="0.25">
      <c r="C9" s="27"/>
    </row>
    <row r="10" spans="1:12" ht="42.6" customHeight="1" x14ac:dyDescent="0.25">
      <c r="C10" s="27" t="s">
        <v>32</v>
      </c>
      <c r="D10" s="16" t="s">
        <v>113</v>
      </c>
      <c r="G10" s="26" t="s">
        <v>52</v>
      </c>
      <c r="H10" s="17">
        <v>178.5</v>
      </c>
      <c r="I10" t="s">
        <v>6</v>
      </c>
      <c r="J10" s="1" t="s">
        <v>66</v>
      </c>
      <c r="K10" s="17">
        <v>1961</v>
      </c>
    </row>
    <row r="11" spans="1:12" ht="16.5" customHeight="1" x14ac:dyDescent="0.25">
      <c r="C11" s="27"/>
      <c r="D11" s="20"/>
      <c r="G11" s="27"/>
    </row>
    <row r="12" spans="1:12" ht="42.6" customHeight="1" x14ac:dyDescent="0.25">
      <c r="C12" s="26" t="s">
        <v>99</v>
      </c>
      <c r="D12" s="16" t="s">
        <v>100</v>
      </c>
      <c r="G12" s="26" t="s">
        <v>53</v>
      </c>
      <c r="H12" s="17">
        <v>173</v>
      </c>
      <c r="I12" t="s">
        <v>6</v>
      </c>
      <c r="J12" s="20" t="s">
        <v>67</v>
      </c>
      <c r="K12" s="17">
        <v>2081</v>
      </c>
    </row>
    <row r="13" spans="1:12" ht="16.5" customHeight="1" x14ac:dyDescent="0.25">
      <c r="C13" s="27"/>
      <c r="D13" s="20"/>
      <c r="G13" s="27"/>
    </row>
    <row r="14" spans="1:12" ht="42.6" customHeight="1" x14ac:dyDescent="0.25">
      <c r="C14" s="27" t="s">
        <v>102</v>
      </c>
      <c r="D14" s="16" t="s">
        <v>101</v>
      </c>
      <c r="G14" s="27" t="s">
        <v>54</v>
      </c>
      <c r="H14" s="5">
        <f>H12-H10</f>
        <v>-5.5</v>
      </c>
      <c r="K14" s="5">
        <f>K12-K10</f>
        <v>120</v>
      </c>
    </row>
    <row r="15" spans="1:12" ht="32.450000000000003" customHeight="1" x14ac:dyDescent="0.25">
      <c r="C15" s="27"/>
      <c r="G15" s="27"/>
    </row>
    <row r="16" spans="1:12" ht="30" x14ac:dyDescent="0.25">
      <c r="C16" s="27" t="s">
        <v>0</v>
      </c>
      <c r="D16" s="14"/>
      <c r="G16" s="26" t="s">
        <v>55</v>
      </c>
      <c r="H16" s="42" t="s">
        <v>126</v>
      </c>
      <c r="I16" s="43"/>
      <c r="J16" s="43"/>
      <c r="K16" s="43"/>
      <c r="L16" s="44"/>
    </row>
    <row r="17" spans="2:7" x14ac:dyDescent="0.25">
      <c r="C17" s="27" t="s">
        <v>33</v>
      </c>
      <c r="D17" s="15"/>
    </row>
    <row r="18" spans="2:7" x14ac:dyDescent="0.25">
      <c r="C18" s="27" t="s">
        <v>34</v>
      </c>
      <c r="D18" s="15"/>
    </row>
    <row r="19" spans="2:7" x14ac:dyDescent="0.25">
      <c r="C19" s="27"/>
      <c r="D19" s="4"/>
    </row>
    <row r="20" spans="2:7" x14ac:dyDescent="0.25">
      <c r="C20" s="27" t="s">
        <v>1</v>
      </c>
      <c r="D20" s="14"/>
    </row>
    <row r="21" spans="2:7" x14ac:dyDescent="0.25">
      <c r="C21" s="27"/>
      <c r="D21" s="4"/>
    </row>
    <row r="22" spans="2:7" ht="30" x14ac:dyDescent="0.25">
      <c r="C22" s="26" t="s">
        <v>35</v>
      </c>
      <c r="D22" s="16" t="s">
        <v>21</v>
      </c>
    </row>
    <row r="23" spans="2:7" x14ac:dyDescent="0.25">
      <c r="C23" s="27"/>
      <c r="D23" s="4"/>
    </row>
    <row r="24" spans="2:7" ht="30" x14ac:dyDescent="0.25">
      <c r="C24" s="26" t="s">
        <v>36</v>
      </c>
      <c r="D24" s="16" t="s">
        <v>16</v>
      </c>
    </row>
    <row r="25" spans="2:7" x14ac:dyDescent="0.25">
      <c r="C25" s="27"/>
      <c r="D25" s="4"/>
    </row>
    <row r="26" spans="2:7" ht="30" x14ac:dyDescent="0.25">
      <c r="C26" s="26" t="s">
        <v>65</v>
      </c>
      <c r="D26" s="14" t="s">
        <v>107</v>
      </c>
    </row>
    <row r="28" spans="2:7" ht="30" x14ac:dyDescent="0.25">
      <c r="C28" s="26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1</v>
      </c>
      <c r="F36" s="4" t="str">
        <f>IFERROR(VLOOKUP(E36,REF!$B$2:$C$6,2,0),"")</f>
        <v>Situation conforme</v>
      </c>
      <c r="G36" s="18" t="s">
        <v>127</v>
      </c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1</v>
      </c>
      <c r="F39" s="4" t="str">
        <f>IFERROR(VLOOKUP(E39,REF!$B$2:$C$6,2,0),"")</f>
        <v>Situation conforme</v>
      </c>
      <c r="G39" s="18" t="s">
        <v>128</v>
      </c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 t="s">
        <v>110</v>
      </c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26.25" x14ac:dyDescent="0.25">
      <c r="B45" t="s">
        <v>78</v>
      </c>
      <c r="C45" s="37" t="s">
        <v>46</v>
      </c>
      <c r="D45" s="39"/>
      <c r="E45" s="17">
        <v>1</v>
      </c>
      <c r="F45" s="4" t="str">
        <f>IFERROR(VLOOKUP(E45,REF!$B$2:$C$6,2,0),"")</f>
        <v>Situation conforme</v>
      </c>
      <c r="G45" s="18" t="s">
        <v>129</v>
      </c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4</v>
      </c>
      <c r="F47" s="4" t="str">
        <f>IFERROR(VLOOKUP(E47,REF!$B$2:$C$6,2,0),"")</f>
        <v>Situation de crise</v>
      </c>
      <c r="G47" s="18" t="s">
        <v>117</v>
      </c>
      <c r="I47" s="13"/>
    </row>
    <row r="48" spans="2:10" ht="47.25" customHeight="1" x14ac:dyDescent="0.25">
      <c r="B48" t="s">
        <v>81</v>
      </c>
      <c r="C48" s="37" t="s">
        <v>49</v>
      </c>
      <c r="D48" s="39"/>
      <c r="E48" s="17">
        <v>2</v>
      </c>
      <c r="F48" s="4" t="str">
        <f>IFERROR(VLOOKUP(E48,REF!$B$2:$C$6,2,0),"")</f>
        <v>Alertes mineures</v>
      </c>
      <c r="G48" s="18" t="s">
        <v>130</v>
      </c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125</v>
      </c>
      <c r="I51" s="13"/>
    </row>
    <row r="52" spans="2:9" ht="36" customHeight="1" x14ac:dyDescent="0.25">
      <c r="C52" s="36"/>
      <c r="D52" s="36"/>
    </row>
  </sheetData>
  <mergeCells count="19">
    <mergeCell ref="C52:D52"/>
    <mergeCell ref="C46:D46"/>
    <mergeCell ref="C47:D47"/>
    <mergeCell ref="C48:D48"/>
    <mergeCell ref="C49:D49"/>
    <mergeCell ref="C50:D50"/>
    <mergeCell ref="C51:D51"/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conditionalFormatting sqref="E36:E48 E50:E69">
    <cfRule type="cellIs" dxfId="59" priority="6" operator="equal">
      <formula>"NA"</formula>
    </cfRule>
    <cfRule type="cellIs" dxfId="58" priority="7" operator="equal">
      <formula>4</formula>
    </cfRule>
    <cfRule type="cellIs" dxfId="57" priority="8" operator="equal">
      <formula>3</formula>
    </cfRule>
    <cfRule type="cellIs" dxfId="56" priority="9" operator="equal">
      <formula>2</formula>
    </cfRule>
    <cfRule type="cellIs" dxfId="55" priority="10" operator="equal">
      <formula>1</formula>
    </cfRule>
  </conditionalFormatting>
  <conditionalFormatting sqref="E49">
    <cfRule type="cellIs" dxfId="54" priority="1" operator="equal">
      <formula>"NA"</formula>
    </cfRule>
    <cfRule type="cellIs" dxfId="53" priority="2" operator="equal">
      <formula>4</formula>
    </cfRule>
    <cfRule type="cellIs" dxfId="52" priority="3" operator="equal">
      <formula>3</formula>
    </cfRule>
    <cfRule type="cellIs" dxfId="51" priority="4" operator="equal">
      <formula>2</formula>
    </cfRule>
    <cfRule type="cellIs" dxfId="5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REF!$F$10:$F$11</xm:f>
          </x14:formula1>
          <xm:sqref>D12 D14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52"/>
  <sheetViews>
    <sheetView workbookViewId="0"/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5" t="s">
        <v>4</v>
      </c>
      <c r="I5" s="25" t="s">
        <v>5</v>
      </c>
    </row>
    <row r="6" spans="1:12" ht="23.45" customHeight="1" x14ac:dyDescent="0.25">
      <c r="C6" s="27" t="s">
        <v>31</v>
      </c>
      <c r="D6" s="14" t="s">
        <v>106</v>
      </c>
      <c r="G6" s="27" t="s">
        <v>50</v>
      </c>
      <c r="H6" s="17">
        <v>1</v>
      </c>
      <c r="I6" s="17">
        <v>2024</v>
      </c>
    </row>
    <row r="7" spans="1:12" ht="12.6" customHeight="1" x14ac:dyDescent="0.25">
      <c r="C7" s="27"/>
      <c r="D7" s="4"/>
      <c r="G7" s="27"/>
      <c r="H7" s="24"/>
      <c r="I7" s="24"/>
    </row>
    <row r="8" spans="1:12" ht="33.75" customHeight="1" x14ac:dyDescent="0.25">
      <c r="C8" s="27" t="s">
        <v>87</v>
      </c>
      <c r="D8" s="14" t="s">
        <v>89</v>
      </c>
      <c r="E8" s="3" t="s">
        <v>121</v>
      </c>
      <c r="F8" s="16" t="s">
        <v>122</v>
      </c>
      <c r="G8" s="27" t="s">
        <v>51</v>
      </c>
      <c r="H8" s="17">
        <v>12</v>
      </c>
      <c r="I8" s="4"/>
      <c r="J8" s="1" t="s">
        <v>68</v>
      </c>
      <c r="K8" s="17">
        <v>0</v>
      </c>
    </row>
    <row r="9" spans="1:12" x14ac:dyDescent="0.25">
      <c r="C9" s="27"/>
    </row>
    <row r="10" spans="1:12" ht="42.6" customHeight="1" x14ac:dyDescent="0.25">
      <c r="C10" s="27" t="s">
        <v>32</v>
      </c>
      <c r="D10" s="16" t="s">
        <v>113</v>
      </c>
      <c r="G10" s="26" t="s">
        <v>52</v>
      </c>
      <c r="H10" s="17">
        <v>207</v>
      </c>
      <c r="I10" t="s">
        <v>6</v>
      </c>
      <c r="J10" s="1" t="s">
        <v>66</v>
      </c>
      <c r="K10" s="17">
        <v>207</v>
      </c>
    </row>
    <row r="11" spans="1:12" ht="16.5" customHeight="1" x14ac:dyDescent="0.25">
      <c r="C11" s="27"/>
      <c r="D11" s="20"/>
      <c r="G11" s="27"/>
    </row>
    <row r="12" spans="1:12" ht="42.6" customHeight="1" x14ac:dyDescent="0.25">
      <c r="C12" s="26" t="s">
        <v>99</v>
      </c>
      <c r="D12" s="16" t="s">
        <v>100</v>
      </c>
      <c r="G12" s="26" t="s">
        <v>53</v>
      </c>
      <c r="H12" s="17">
        <v>206</v>
      </c>
      <c r="I12" t="s">
        <v>6</v>
      </c>
      <c r="J12" s="20" t="s">
        <v>67</v>
      </c>
      <c r="K12" s="17">
        <v>206</v>
      </c>
    </row>
    <row r="13" spans="1:12" ht="16.5" customHeight="1" x14ac:dyDescent="0.25">
      <c r="C13" s="27"/>
      <c r="D13" s="20"/>
      <c r="G13" s="27"/>
    </row>
    <row r="14" spans="1:12" ht="42.6" customHeight="1" x14ac:dyDescent="0.25">
      <c r="C14" s="27" t="s">
        <v>102</v>
      </c>
      <c r="D14" s="16" t="s">
        <v>101</v>
      </c>
      <c r="G14" s="27" t="s">
        <v>54</v>
      </c>
      <c r="H14" s="5">
        <f>H12-H10</f>
        <v>-1</v>
      </c>
      <c r="K14" s="5">
        <f>K12-K10</f>
        <v>-1</v>
      </c>
    </row>
    <row r="15" spans="1:12" ht="32.450000000000003" customHeight="1" x14ac:dyDescent="0.25">
      <c r="C15" s="27"/>
      <c r="G15" s="27"/>
    </row>
    <row r="16" spans="1:12" ht="30" x14ac:dyDescent="0.25">
      <c r="C16" s="27" t="s">
        <v>0</v>
      </c>
      <c r="D16" s="14"/>
      <c r="G16" s="26" t="s">
        <v>55</v>
      </c>
      <c r="H16" s="42"/>
      <c r="I16" s="43"/>
      <c r="J16" s="43"/>
      <c r="K16" s="43"/>
      <c r="L16" s="44"/>
    </row>
    <row r="17" spans="2:7" x14ac:dyDescent="0.25">
      <c r="C17" s="27" t="s">
        <v>33</v>
      </c>
      <c r="D17" s="15"/>
    </row>
    <row r="18" spans="2:7" x14ac:dyDescent="0.25">
      <c r="C18" s="27" t="s">
        <v>34</v>
      </c>
      <c r="D18" s="15"/>
    </row>
    <row r="19" spans="2:7" x14ac:dyDescent="0.25">
      <c r="C19" s="27"/>
      <c r="D19" s="4"/>
    </row>
    <row r="20" spans="2:7" x14ac:dyDescent="0.25">
      <c r="C20" s="27" t="s">
        <v>1</v>
      </c>
      <c r="D20" s="14"/>
    </row>
    <row r="21" spans="2:7" x14ac:dyDescent="0.25">
      <c r="C21" s="27"/>
      <c r="D21" s="4"/>
    </row>
    <row r="22" spans="2:7" ht="30" x14ac:dyDescent="0.25">
      <c r="C22" s="26" t="s">
        <v>35</v>
      </c>
      <c r="D22" s="16" t="s">
        <v>21</v>
      </c>
    </row>
    <row r="23" spans="2:7" x14ac:dyDescent="0.25">
      <c r="C23" s="27"/>
      <c r="D23" s="4"/>
    </row>
    <row r="24" spans="2:7" ht="30" x14ac:dyDescent="0.25">
      <c r="C24" s="26" t="s">
        <v>36</v>
      </c>
      <c r="D24" s="16" t="s">
        <v>16</v>
      </c>
    </row>
    <row r="25" spans="2:7" x14ac:dyDescent="0.25">
      <c r="C25" s="27"/>
      <c r="D25" s="4"/>
    </row>
    <row r="26" spans="2:7" ht="30" x14ac:dyDescent="0.25">
      <c r="C26" s="26" t="s">
        <v>65</v>
      </c>
      <c r="D26" s="14" t="s">
        <v>107</v>
      </c>
    </row>
    <row r="28" spans="2:7" ht="30" x14ac:dyDescent="0.25">
      <c r="C28" s="26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1</v>
      </c>
      <c r="F36" s="4" t="str">
        <f>IFERROR(VLOOKUP(E36,REF!$B$2:$C$6,2,0),"")</f>
        <v>Situation conforme</v>
      </c>
      <c r="G36" s="18" t="s">
        <v>127</v>
      </c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1</v>
      </c>
      <c r="F39" s="4" t="str">
        <f>IFERROR(VLOOKUP(E39,REF!$B$2:$C$6,2,0),"")</f>
        <v>Situation conforme</v>
      </c>
      <c r="G39" s="18" t="s">
        <v>128</v>
      </c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 t="s">
        <v>110</v>
      </c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26.25" x14ac:dyDescent="0.25">
      <c r="B45" t="s">
        <v>78</v>
      </c>
      <c r="C45" s="37" t="s">
        <v>46</v>
      </c>
      <c r="D45" s="39"/>
      <c r="E45" s="17">
        <v>1</v>
      </c>
      <c r="F45" s="4" t="str">
        <f>IFERROR(VLOOKUP(E45,REF!$B$2:$C$6,2,0),"")</f>
        <v>Situation conforme</v>
      </c>
      <c r="G45" s="18" t="s">
        <v>129</v>
      </c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3</v>
      </c>
      <c r="F47" s="4" t="str">
        <f>IFERROR(VLOOKUP(E47,REF!$B$2:$C$6,2,0),"")</f>
        <v>Défaillance majeure à traiter</v>
      </c>
      <c r="G47" s="18" t="s">
        <v>131</v>
      </c>
      <c r="I47" s="13"/>
    </row>
    <row r="48" spans="2:10" ht="47.25" customHeight="1" x14ac:dyDescent="0.25">
      <c r="B48" t="s">
        <v>81</v>
      </c>
      <c r="C48" s="37" t="s">
        <v>49</v>
      </c>
      <c r="D48" s="39"/>
      <c r="E48" s="17">
        <v>2</v>
      </c>
      <c r="F48" s="4" t="str">
        <f>IFERROR(VLOOKUP(E48,REF!$B$2:$C$6,2,0),"")</f>
        <v>Alertes mineures</v>
      </c>
      <c r="G48" s="18" t="s">
        <v>130</v>
      </c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125</v>
      </c>
      <c r="I51" s="13"/>
    </row>
    <row r="52" spans="2:9" ht="36" customHeight="1" x14ac:dyDescent="0.25">
      <c r="C52" s="36"/>
      <c r="D52" s="36"/>
    </row>
  </sheetData>
  <mergeCells count="19"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2:D52"/>
    <mergeCell ref="C46:D46"/>
    <mergeCell ref="C47:D47"/>
    <mergeCell ref="C48:D48"/>
    <mergeCell ref="C49:D49"/>
    <mergeCell ref="C50:D50"/>
    <mergeCell ref="C51:D51"/>
  </mergeCells>
  <conditionalFormatting sqref="E36:E48 E50:E69">
    <cfRule type="cellIs" dxfId="49" priority="6" operator="equal">
      <formula>"NA"</formula>
    </cfRule>
    <cfRule type="cellIs" dxfId="48" priority="7" operator="equal">
      <formula>4</formula>
    </cfRule>
    <cfRule type="cellIs" dxfId="47" priority="8" operator="equal">
      <formula>3</formula>
    </cfRule>
    <cfRule type="cellIs" dxfId="46" priority="9" operator="equal">
      <formula>2</formula>
    </cfRule>
    <cfRule type="cellIs" dxfId="45" priority="10" operator="equal">
      <formula>1</formula>
    </cfRule>
  </conditionalFormatting>
  <conditionalFormatting sqref="E49">
    <cfRule type="cellIs" dxfId="44" priority="1" operator="equal">
      <formula>"NA"</formula>
    </cfRule>
    <cfRule type="cellIs" dxfId="43" priority="2" operator="equal">
      <formula>4</formula>
    </cfRule>
    <cfRule type="cellIs" dxfId="42" priority="3" operator="equal">
      <formula>3</formula>
    </cfRule>
    <cfRule type="cellIs" dxfId="41" priority="4" operator="equal">
      <formula>2</formula>
    </cfRule>
    <cfRule type="cellIs" dxfId="4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REF!$F$10:$F$11</xm:f>
          </x14:formula1>
          <xm:sqref>D12 D14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52"/>
  <sheetViews>
    <sheetView workbookViewId="0"/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8" t="s">
        <v>4</v>
      </c>
      <c r="I5" s="28" t="s">
        <v>5</v>
      </c>
    </row>
    <row r="6" spans="1:12" ht="23.45" customHeight="1" x14ac:dyDescent="0.25">
      <c r="C6" s="30" t="s">
        <v>31</v>
      </c>
      <c r="D6" s="14" t="s">
        <v>106</v>
      </c>
      <c r="G6" s="30" t="s">
        <v>50</v>
      </c>
      <c r="H6" s="17">
        <v>2</v>
      </c>
      <c r="I6" s="17">
        <v>2024</v>
      </c>
    </row>
    <row r="7" spans="1:12" ht="12.6" customHeight="1" x14ac:dyDescent="0.25">
      <c r="C7" s="30"/>
      <c r="D7" s="4"/>
      <c r="G7" s="30"/>
      <c r="H7" s="24"/>
      <c r="I7" s="24"/>
    </row>
    <row r="8" spans="1:12" ht="33.75" customHeight="1" x14ac:dyDescent="0.25">
      <c r="C8" s="30" t="s">
        <v>87</v>
      </c>
      <c r="D8" s="14" t="s">
        <v>89</v>
      </c>
      <c r="E8" s="3" t="s">
        <v>121</v>
      </c>
      <c r="F8" s="16" t="s">
        <v>122</v>
      </c>
      <c r="G8" s="30" t="s">
        <v>51</v>
      </c>
      <c r="H8" s="17">
        <v>12</v>
      </c>
      <c r="I8" s="4"/>
      <c r="J8" s="1" t="s">
        <v>68</v>
      </c>
      <c r="K8" s="17">
        <v>0</v>
      </c>
    </row>
    <row r="9" spans="1:12" x14ac:dyDescent="0.25">
      <c r="C9" s="30"/>
    </row>
    <row r="10" spans="1:12" ht="42.6" customHeight="1" x14ac:dyDescent="0.25">
      <c r="C10" s="30" t="s">
        <v>32</v>
      </c>
      <c r="D10" s="16" t="s">
        <v>113</v>
      </c>
      <c r="G10" s="29" t="s">
        <v>52</v>
      </c>
      <c r="H10" s="17">
        <v>203.5</v>
      </c>
      <c r="I10" t="s">
        <v>6</v>
      </c>
      <c r="J10" s="1" t="s">
        <v>66</v>
      </c>
      <c r="K10" s="17">
        <f>207+203.5</f>
        <v>410.5</v>
      </c>
    </row>
    <row r="11" spans="1:12" ht="16.5" customHeight="1" x14ac:dyDescent="0.25">
      <c r="C11" s="30"/>
      <c r="D11" s="20"/>
      <c r="G11" s="30"/>
    </row>
    <row r="12" spans="1:12" ht="42.6" customHeight="1" x14ac:dyDescent="0.25">
      <c r="C12" s="29" t="s">
        <v>99</v>
      </c>
      <c r="D12" s="16" t="s">
        <v>100</v>
      </c>
      <c r="G12" s="29" t="s">
        <v>53</v>
      </c>
      <c r="H12" s="17">
        <v>213.5</v>
      </c>
      <c r="I12" t="s">
        <v>6</v>
      </c>
      <c r="J12" s="20" t="s">
        <v>67</v>
      </c>
      <c r="K12" s="17">
        <f>206+213.5</f>
        <v>419.5</v>
      </c>
    </row>
    <row r="13" spans="1:12" ht="16.5" customHeight="1" x14ac:dyDescent="0.25">
      <c r="C13" s="30"/>
      <c r="D13" s="20"/>
      <c r="G13" s="30"/>
    </row>
    <row r="14" spans="1:12" ht="42.6" customHeight="1" x14ac:dyDescent="0.25">
      <c r="C14" s="30" t="s">
        <v>102</v>
      </c>
      <c r="D14" s="16" t="s">
        <v>101</v>
      </c>
      <c r="G14" s="30" t="s">
        <v>54</v>
      </c>
      <c r="H14" s="5">
        <f>H12-H10</f>
        <v>10</v>
      </c>
      <c r="K14" s="5">
        <f>K12-K10</f>
        <v>9</v>
      </c>
    </row>
    <row r="15" spans="1:12" ht="32.450000000000003" customHeight="1" x14ac:dyDescent="0.25">
      <c r="C15" s="30"/>
      <c r="G15" s="30"/>
    </row>
    <row r="16" spans="1:12" ht="30" x14ac:dyDescent="0.25">
      <c r="C16" s="30" t="s">
        <v>0</v>
      </c>
      <c r="D16" s="14"/>
      <c r="G16" s="29" t="s">
        <v>55</v>
      </c>
      <c r="H16" s="42" t="s">
        <v>132</v>
      </c>
      <c r="I16" s="43"/>
      <c r="J16" s="43"/>
      <c r="K16" s="43"/>
      <c r="L16" s="44"/>
    </row>
    <row r="17" spans="2:7" x14ac:dyDescent="0.25">
      <c r="C17" s="30" t="s">
        <v>33</v>
      </c>
      <c r="D17" s="15"/>
    </row>
    <row r="18" spans="2:7" x14ac:dyDescent="0.25">
      <c r="C18" s="30" t="s">
        <v>34</v>
      </c>
      <c r="D18" s="15"/>
    </row>
    <row r="19" spans="2:7" x14ac:dyDescent="0.25">
      <c r="C19" s="30"/>
      <c r="D19" s="4"/>
    </row>
    <row r="20" spans="2:7" x14ac:dyDescent="0.25">
      <c r="C20" s="30" t="s">
        <v>1</v>
      </c>
      <c r="D20" s="14"/>
    </row>
    <row r="21" spans="2:7" x14ac:dyDescent="0.25">
      <c r="C21" s="30"/>
      <c r="D21" s="4"/>
    </row>
    <row r="22" spans="2:7" ht="30" x14ac:dyDescent="0.25">
      <c r="C22" s="29" t="s">
        <v>35</v>
      </c>
      <c r="D22" s="16" t="s">
        <v>21</v>
      </c>
    </row>
    <row r="23" spans="2:7" x14ac:dyDescent="0.25">
      <c r="C23" s="30"/>
      <c r="D23" s="4"/>
    </row>
    <row r="24" spans="2:7" ht="30" x14ac:dyDescent="0.25">
      <c r="C24" s="29" t="s">
        <v>36</v>
      </c>
      <c r="D24" s="16" t="s">
        <v>16</v>
      </c>
    </row>
    <row r="25" spans="2:7" x14ac:dyDescent="0.25">
      <c r="C25" s="30"/>
      <c r="D25" s="4"/>
    </row>
    <row r="26" spans="2:7" ht="30" x14ac:dyDescent="0.25">
      <c r="C26" s="29" t="s">
        <v>65</v>
      </c>
      <c r="D26" s="14" t="s">
        <v>107</v>
      </c>
    </row>
    <row r="28" spans="2:7" ht="30" x14ac:dyDescent="0.25">
      <c r="C28" s="29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1</v>
      </c>
      <c r="F36" s="4" t="str">
        <f>IFERROR(VLOOKUP(E36,REF!$B$2:$C$6,2,0),"")</f>
        <v>Situation conforme</v>
      </c>
      <c r="G36" s="18"/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1</v>
      </c>
      <c r="F39" s="4" t="str">
        <f>IFERROR(VLOOKUP(E39,REF!$B$2:$C$6,2,0),"")</f>
        <v>Situation conforme</v>
      </c>
      <c r="G39" s="18"/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/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26.25" x14ac:dyDescent="0.25">
      <c r="B45" t="s">
        <v>78</v>
      </c>
      <c r="C45" s="37" t="s">
        <v>46</v>
      </c>
      <c r="D45" s="39"/>
      <c r="E45" s="17">
        <v>1</v>
      </c>
      <c r="F45" s="4" t="str">
        <f>IFERROR(VLOOKUP(E45,REF!$B$2:$C$6,2,0),"")</f>
        <v>Situation conforme</v>
      </c>
      <c r="G45" s="18"/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3</v>
      </c>
      <c r="F47" s="4" t="str">
        <f>IFERROR(VLOOKUP(E47,REF!$B$2:$C$6,2,0),"")</f>
        <v>Défaillance majeure à traiter</v>
      </c>
      <c r="G47" s="18" t="s">
        <v>131</v>
      </c>
      <c r="I47" s="13"/>
    </row>
    <row r="48" spans="2:10" ht="47.25" customHeight="1" x14ac:dyDescent="0.25">
      <c r="B48" t="s">
        <v>81</v>
      </c>
      <c r="C48" s="37" t="s">
        <v>49</v>
      </c>
      <c r="D48" s="39"/>
      <c r="E48" s="17">
        <v>2</v>
      </c>
      <c r="F48" s="4" t="str">
        <f>IFERROR(VLOOKUP(E48,REF!$B$2:$C$6,2,0),"")</f>
        <v>Alertes mineures</v>
      </c>
      <c r="G48" s="18" t="s">
        <v>130</v>
      </c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125</v>
      </c>
      <c r="I51" s="13"/>
    </row>
    <row r="52" spans="2:9" ht="36" customHeight="1" x14ac:dyDescent="0.25">
      <c r="C52" s="36"/>
      <c r="D52" s="36"/>
    </row>
  </sheetData>
  <mergeCells count="19">
    <mergeCell ref="C52:D52"/>
    <mergeCell ref="C46:D46"/>
    <mergeCell ref="C47:D47"/>
    <mergeCell ref="C48:D48"/>
    <mergeCell ref="C49:D49"/>
    <mergeCell ref="C50:D50"/>
    <mergeCell ref="C51:D51"/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conditionalFormatting sqref="E36:E48 E50:E69">
    <cfRule type="cellIs" dxfId="39" priority="6" operator="equal">
      <formula>"NA"</formula>
    </cfRule>
    <cfRule type="cellIs" dxfId="38" priority="7" operator="equal">
      <formula>4</formula>
    </cfRule>
    <cfRule type="cellIs" dxfId="37" priority="8" operator="equal">
      <formula>3</formula>
    </cfRule>
    <cfRule type="cellIs" dxfId="36" priority="9" operator="equal">
      <formula>2</formula>
    </cfRule>
    <cfRule type="cellIs" dxfId="35" priority="10" operator="equal">
      <formula>1</formula>
    </cfRule>
  </conditionalFormatting>
  <conditionalFormatting sqref="E49">
    <cfRule type="cellIs" dxfId="34" priority="1" operator="equal">
      <formula>"NA"</formula>
    </cfRule>
    <cfRule type="cellIs" dxfId="33" priority="2" operator="equal">
      <formula>4</formula>
    </cfRule>
    <cfRule type="cellIs" dxfId="32" priority="3" operator="equal">
      <formula>3</formula>
    </cfRule>
    <cfRule type="cellIs" dxfId="31" priority="4" operator="equal">
      <formula>2</formula>
    </cfRule>
    <cfRule type="cellIs" dxfId="3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REF!$F$10:$F$11</xm:f>
          </x14:formula1>
          <xm:sqref>D12 D14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52"/>
  <sheetViews>
    <sheetView workbookViewId="0">
      <selection sqref="A1:XFD1048576"/>
    </sheetView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8" t="s">
        <v>4</v>
      </c>
      <c r="I5" s="28" t="s">
        <v>5</v>
      </c>
    </row>
    <row r="6" spans="1:12" ht="23.45" customHeight="1" x14ac:dyDescent="0.25">
      <c r="C6" s="30" t="s">
        <v>31</v>
      </c>
      <c r="D6" s="14" t="s">
        <v>106</v>
      </c>
      <c r="G6" s="30" t="s">
        <v>50</v>
      </c>
      <c r="H6" s="17">
        <v>3</v>
      </c>
      <c r="I6" s="17">
        <v>2024</v>
      </c>
    </row>
    <row r="7" spans="1:12" ht="12.6" customHeight="1" x14ac:dyDescent="0.25">
      <c r="C7" s="30"/>
      <c r="D7" s="4"/>
      <c r="G7" s="30"/>
      <c r="H7" s="24"/>
      <c r="I7" s="24"/>
    </row>
    <row r="8" spans="1:12" ht="33.75" customHeight="1" x14ac:dyDescent="0.25">
      <c r="C8" s="30" t="s">
        <v>87</v>
      </c>
      <c r="D8" s="14" t="s">
        <v>89</v>
      </c>
      <c r="E8" s="3" t="s">
        <v>121</v>
      </c>
      <c r="F8" s="16" t="s">
        <v>122</v>
      </c>
      <c r="G8" s="30" t="s">
        <v>51</v>
      </c>
      <c r="H8" s="17">
        <v>12</v>
      </c>
      <c r="I8" s="4"/>
      <c r="J8" s="1" t="s">
        <v>68</v>
      </c>
      <c r="K8" s="17">
        <v>0</v>
      </c>
    </row>
    <row r="9" spans="1:12" x14ac:dyDescent="0.25">
      <c r="C9" s="30"/>
    </row>
    <row r="10" spans="1:12" ht="42.6" customHeight="1" x14ac:dyDescent="0.25">
      <c r="C10" s="30" t="s">
        <v>32</v>
      </c>
      <c r="D10" s="16" t="s">
        <v>113</v>
      </c>
      <c r="G10" s="29" t="s">
        <v>52</v>
      </c>
      <c r="H10" s="17">
        <v>184.75</v>
      </c>
      <c r="I10" t="s">
        <v>6</v>
      </c>
      <c r="J10" s="1" t="s">
        <v>66</v>
      </c>
      <c r="K10" s="17">
        <f>207+203.5+184.75</f>
        <v>595.25</v>
      </c>
    </row>
    <row r="11" spans="1:12" ht="16.5" customHeight="1" x14ac:dyDescent="0.25">
      <c r="C11" s="30"/>
      <c r="D11" s="20"/>
      <c r="G11" s="30"/>
    </row>
    <row r="12" spans="1:12" ht="42.6" customHeight="1" x14ac:dyDescent="0.25">
      <c r="C12" s="29" t="s">
        <v>99</v>
      </c>
      <c r="D12" s="16" t="s">
        <v>100</v>
      </c>
      <c r="G12" s="29" t="s">
        <v>53</v>
      </c>
      <c r="H12" s="17">
        <v>182</v>
      </c>
      <c r="I12" t="s">
        <v>6</v>
      </c>
      <c r="J12" s="20" t="s">
        <v>67</v>
      </c>
      <c r="K12" s="17">
        <f>206+213.5+182</f>
        <v>601.5</v>
      </c>
    </row>
    <row r="13" spans="1:12" ht="16.5" customHeight="1" x14ac:dyDescent="0.25">
      <c r="C13" s="30"/>
      <c r="D13" s="20"/>
      <c r="G13" s="30"/>
    </row>
    <row r="14" spans="1:12" ht="42.6" customHeight="1" x14ac:dyDescent="0.25">
      <c r="C14" s="30" t="s">
        <v>102</v>
      </c>
      <c r="D14" s="16" t="s">
        <v>101</v>
      </c>
      <c r="G14" s="30" t="s">
        <v>54</v>
      </c>
      <c r="H14" s="5">
        <f>H12-H10</f>
        <v>-2.75</v>
      </c>
      <c r="K14" s="5">
        <f>K12-K10</f>
        <v>6.25</v>
      </c>
    </row>
    <row r="15" spans="1:12" ht="32.450000000000003" customHeight="1" x14ac:dyDescent="0.25">
      <c r="C15" s="30"/>
      <c r="G15" s="30"/>
    </row>
    <row r="16" spans="1:12" ht="30" x14ac:dyDescent="0.25">
      <c r="C16" s="30" t="s">
        <v>0</v>
      </c>
      <c r="D16" s="14"/>
      <c r="G16" s="29" t="s">
        <v>55</v>
      </c>
      <c r="H16" s="42" t="s">
        <v>132</v>
      </c>
      <c r="I16" s="43"/>
      <c r="J16" s="43"/>
      <c r="K16" s="43"/>
      <c r="L16" s="44"/>
    </row>
    <row r="17" spans="2:7" x14ac:dyDescent="0.25">
      <c r="C17" s="30" t="s">
        <v>33</v>
      </c>
      <c r="D17" s="15"/>
    </row>
    <row r="18" spans="2:7" x14ac:dyDescent="0.25">
      <c r="C18" s="30" t="s">
        <v>34</v>
      </c>
      <c r="D18" s="15"/>
    </row>
    <row r="19" spans="2:7" x14ac:dyDescent="0.25">
      <c r="C19" s="30"/>
      <c r="D19" s="4"/>
    </row>
    <row r="20" spans="2:7" x14ac:dyDescent="0.25">
      <c r="C20" s="30" t="s">
        <v>1</v>
      </c>
      <c r="D20" s="14"/>
    </row>
    <row r="21" spans="2:7" x14ac:dyDescent="0.25">
      <c r="C21" s="30"/>
      <c r="D21" s="4"/>
    </row>
    <row r="22" spans="2:7" ht="30" x14ac:dyDescent="0.25">
      <c r="C22" s="29" t="s">
        <v>35</v>
      </c>
      <c r="D22" s="16" t="s">
        <v>21</v>
      </c>
    </row>
    <row r="23" spans="2:7" x14ac:dyDescent="0.25">
      <c r="C23" s="30"/>
      <c r="D23" s="4"/>
    </row>
    <row r="24" spans="2:7" ht="30" x14ac:dyDescent="0.25">
      <c r="C24" s="29" t="s">
        <v>36</v>
      </c>
      <c r="D24" s="16" t="s">
        <v>16</v>
      </c>
    </row>
    <row r="25" spans="2:7" x14ac:dyDescent="0.25">
      <c r="C25" s="30"/>
      <c r="D25" s="4"/>
    </row>
    <row r="26" spans="2:7" ht="30" x14ac:dyDescent="0.25">
      <c r="C26" s="29" t="s">
        <v>65</v>
      </c>
      <c r="D26" s="14" t="s">
        <v>107</v>
      </c>
    </row>
    <row r="28" spans="2:7" ht="30" x14ac:dyDescent="0.25">
      <c r="C28" s="29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1</v>
      </c>
      <c r="F36" s="4" t="str">
        <f>IFERROR(VLOOKUP(E36,REF!$B$2:$C$6,2,0),"")</f>
        <v>Situation conforme</v>
      </c>
      <c r="G36" s="18"/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1</v>
      </c>
      <c r="F39" s="4" t="str">
        <f>IFERROR(VLOOKUP(E39,REF!$B$2:$C$6,2,0),"")</f>
        <v>Situation conforme</v>
      </c>
      <c r="G39" s="18"/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/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26.25" x14ac:dyDescent="0.25">
      <c r="B45" t="s">
        <v>78</v>
      </c>
      <c r="C45" s="37" t="s">
        <v>46</v>
      </c>
      <c r="D45" s="39"/>
      <c r="E45" s="17">
        <v>1</v>
      </c>
      <c r="F45" s="4" t="str">
        <f>IFERROR(VLOOKUP(E45,REF!$B$2:$C$6,2,0),"")</f>
        <v>Situation conforme</v>
      </c>
      <c r="G45" s="18"/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3</v>
      </c>
      <c r="F47" s="4" t="str">
        <f>IFERROR(VLOOKUP(E47,REF!$B$2:$C$6,2,0),"")</f>
        <v>Défaillance majeure à traiter</v>
      </c>
      <c r="G47" s="18" t="s">
        <v>131</v>
      </c>
      <c r="I47" s="13"/>
    </row>
    <row r="48" spans="2:10" ht="47.25" customHeight="1" x14ac:dyDescent="0.25">
      <c r="B48" t="s">
        <v>81</v>
      </c>
      <c r="C48" s="37" t="s">
        <v>49</v>
      </c>
      <c r="D48" s="39"/>
      <c r="E48" s="17">
        <v>2</v>
      </c>
      <c r="F48" s="4" t="str">
        <f>IFERROR(VLOOKUP(E48,REF!$B$2:$C$6,2,0),"")</f>
        <v>Alertes mineures</v>
      </c>
      <c r="G48" s="18" t="s">
        <v>130</v>
      </c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125</v>
      </c>
      <c r="I51" s="13"/>
    </row>
    <row r="52" spans="2:9" ht="36" customHeight="1" x14ac:dyDescent="0.25">
      <c r="C52" s="36"/>
      <c r="D52" s="36"/>
    </row>
  </sheetData>
  <mergeCells count="19">
    <mergeCell ref="C52:D52"/>
    <mergeCell ref="C46:D46"/>
    <mergeCell ref="C47:D47"/>
    <mergeCell ref="C48:D48"/>
    <mergeCell ref="C49:D49"/>
    <mergeCell ref="C50:D50"/>
    <mergeCell ref="C51:D51"/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conditionalFormatting sqref="E36:E48 E50:E69">
    <cfRule type="cellIs" dxfId="29" priority="6" operator="equal">
      <formula>"NA"</formula>
    </cfRule>
    <cfRule type="cellIs" dxfId="28" priority="7" operator="equal">
      <formula>4</formula>
    </cfRule>
    <cfRule type="cellIs" dxfId="27" priority="8" operator="equal">
      <formula>3</formula>
    </cfRule>
    <cfRule type="cellIs" dxfId="26" priority="9" operator="equal">
      <formula>2</formula>
    </cfRule>
    <cfRule type="cellIs" dxfId="25" priority="10" operator="equal">
      <formula>1</formula>
    </cfRule>
  </conditionalFormatting>
  <conditionalFormatting sqref="E49">
    <cfRule type="cellIs" dxfId="24" priority="1" operator="equal">
      <formula>"NA"</formula>
    </cfRule>
    <cfRule type="cellIs" dxfId="23" priority="2" operator="equal">
      <formula>4</formula>
    </cfRule>
    <cfRule type="cellIs" dxfId="22" priority="3" operator="equal">
      <formula>3</formula>
    </cfRule>
    <cfRule type="cellIs" dxfId="21" priority="4" operator="equal">
      <formula>2</formula>
    </cfRule>
    <cfRule type="cellIs" dxfId="2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REF!$F$10:$F$11</xm:f>
          </x14:formula1>
          <xm:sqref>D12 D14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52"/>
  <sheetViews>
    <sheetView topLeftCell="A37" workbookViewId="0">
      <selection activeCell="G18" sqref="G18"/>
    </sheetView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28" t="s">
        <v>4</v>
      </c>
      <c r="I5" s="28" t="s">
        <v>5</v>
      </c>
    </row>
    <row r="6" spans="1:12" ht="23.45" customHeight="1" x14ac:dyDescent="0.25">
      <c r="C6" s="30" t="s">
        <v>31</v>
      </c>
      <c r="D6" s="14" t="s">
        <v>106</v>
      </c>
      <c r="G6" s="30" t="s">
        <v>50</v>
      </c>
      <c r="H6" s="17">
        <v>4</v>
      </c>
      <c r="I6" s="17">
        <v>2024</v>
      </c>
    </row>
    <row r="7" spans="1:12" ht="12.6" customHeight="1" x14ac:dyDescent="0.25">
      <c r="C7" s="30"/>
      <c r="D7" s="4"/>
      <c r="G7" s="30"/>
      <c r="H7" s="24"/>
      <c r="I7" s="24"/>
    </row>
    <row r="8" spans="1:12" ht="33.75" customHeight="1" x14ac:dyDescent="0.25">
      <c r="C8" s="30" t="s">
        <v>87</v>
      </c>
      <c r="D8" s="14" t="s">
        <v>89</v>
      </c>
      <c r="E8" s="3" t="s">
        <v>121</v>
      </c>
      <c r="F8" s="16" t="s">
        <v>122</v>
      </c>
      <c r="G8" s="30" t="s">
        <v>51</v>
      </c>
      <c r="H8" s="17">
        <v>12</v>
      </c>
      <c r="I8" s="4"/>
      <c r="J8" s="1" t="s">
        <v>68</v>
      </c>
      <c r="K8" s="17">
        <v>0</v>
      </c>
    </row>
    <row r="9" spans="1:12" x14ac:dyDescent="0.25">
      <c r="C9" s="30"/>
    </row>
    <row r="10" spans="1:12" ht="42.6" customHeight="1" x14ac:dyDescent="0.25">
      <c r="C10" s="30" t="s">
        <v>32</v>
      </c>
      <c r="D10" s="16" t="s">
        <v>113</v>
      </c>
      <c r="G10" s="29" t="s">
        <v>52</v>
      </c>
      <c r="H10" s="17">
        <v>201.25</v>
      </c>
      <c r="I10" t="s">
        <v>6</v>
      </c>
      <c r="J10" s="1" t="s">
        <v>66</v>
      </c>
      <c r="K10" s="17">
        <f>207+203.5+184.75+201.25</f>
        <v>796.5</v>
      </c>
    </row>
    <row r="11" spans="1:12" ht="16.5" customHeight="1" x14ac:dyDescent="0.25">
      <c r="C11" s="30"/>
      <c r="D11" s="20"/>
      <c r="G11" s="30"/>
    </row>
    <row r="12" spans="1:12" ht="42.6" customHeight="1" x14ac:dyDescent="0.25">
      <c r="C12" s="29" t="s">
        <v>99</v>
      </c>
      <c r="D12" s="16" t="s">
        <v>100</v>
      </c>
      <c r="G12" s="29" t="s">
        <v>53</v>
      </c>
      <c r="H12" s="17">
        <v>198</v>
      </c>
      <c r="I12" t="s">
        <v>6</v>
      </c>
      <c r="J12" s="20" t="s">
        <v>67</v>
      </c>
      <c r="K12" s="17">
        <f>206+213.5+182+198</f>
        <v>799.5</v>
      </c>
    </row>
    <row r="13" spans="1:12" ht="16.5" customHeight="1" x14ac:dyDescent="0.25">
      <c r="C13" s="30"/>
      <c r="D13" s="20"/>
      <c r="G13" s="30"/>
    </row>
    <row r="14" spans="1:12" ht="42.6" customHeight="1" x14ac:dyDescent="0.25">
      <c r="C14" s="30" t="s">
        <v>102</v>
      </c>
      <c r="D14" s="16" t="s">
        <v>101</v>
      </c>
      <c r="G14" s="30" t="s">
        <v>54</v>
      </c>
      <c r="H14" s="5">
        <f>H12-H10</f>
        <v>-3.25</v>
      </c>
      <c r="K14" s="5">
        <f>K12-K10</f>
        <v>3</v>
      </c>
    </row>
    <row r="15" spans="1:12" ht="32.450000000000003" customHeight="1" x14ac:dyDescent="0.25">
      <c r="C15" s="30"/>
      <c r="G15" s="30"/>
    </row>
    <row r="16" spans="1:12" ht="30" x14ac:dyDescent="0.25">
      <c r="C16" s="30" t="s">
        <v>0</v>
      </c>
      <c r="D16" s="14"/>
      <c r="G16" s="29" t="s">
        <v>55</v>
      </c>
      <c r="H16" s="42" t="s">
        <v>132</v>
      </c>
      <c r="I16" s="43"/>
      <c r="J16" s="43"/>
      <c r="K16" s="43"/>
      <c r="L16" s="44"/>
    </row>
    <row r="17" spans="2:7" x14ac:dyDescent="0.25">
      <c r="C17" s="30" t="s">
        <v>33</v>
      </c>
      <c r="D17" s="15"/>
    </row>
    <row r="18" spans="2:7" x14ac:dyDescent="0.25">
      <c r="C18" s="30" t="s">
        <v>34</v>
      </c>
      <c r="D18" s="15"/>
    </row>
    <row r="19" spans="2:7" x14ac:dyDescent="0.25">
      <c r="C19" s="30"/>
      <c r="D19" s="4"/>
    </row>
    <row r="20" spans="2:7" x14ac:dyDescent="0.25">
      <c r="C20" s="30" t="s">
        <v>1</v>
      </c>
      <c r="D20" s="14"/>
    </row>
    <row r="21" spans="2:7" x14ac:dyDescent="0.25">
      <c r="C21" s="30"/>
      <c r="D21" s="4"/>
    </row>
    <row r="22" spans="2:7" ht="30" x14ac:dyDescent="0.25">
      <c r="C22" s="29" t="s">
        <v>35</v>
      </c>
      <c r="D22" s="16" t="s">
        <v>21</v>
      </c>
    </row>
    <row r="23" spans="2:7" x14ac:dyDescent="0.25">
      <c r="C23" s="30"/>
      <c r="D23" s="4"/>
    </row>
    <row r="24" spans="2:7" ht="30" x14ac:dyDescent="0.25">
      <c r="C24" s="29" t="s">
        <v>36</v>
      </c>
      <c r="D24" s="16" t="s">
        <v>16</v>
      </c>
    </row>
    <row r="25" spans="2:7" x14ac:dyDescent="0.25">
      <c r="C25" s="30"/>
      <c r="D25" s="4"/>
    </row>
    <row r="26" spans="2:7" ht="30" x14ac:dyDescent="0.25">
      <c r="C26" s="29" t="s">
        <v>65</v>
      </c>
      <c r="D26" s="14" t="s">
        <v>107</v>
      </c>
    </row>
    <row r="28" spans="2:7" ht="30" x14ac:dyDescent="0.25">
      <c r="C28" s="29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36" customHeight="1" x14ac:dyDescent="0.25">
      <c r="B36" t="s">
        <v>69</v>
      </c>
      <c r="C36" s="37" t="s">
        <v>39</v>
      </c>
      <c r="D36" s="39"/>
      <c r="E36" s="17">
        <v>1</v>
      </c>
      <c r="F36" s="4" t="str">
        <f>IFERROR(VLOOKUP(E36,REF!$B$2:$C$6,2,0),"")</f>
        <v>Situation conforme</v>
      </c>
      <c r="G36" s="18"/>
      <c r="I36" s="13"/>
    </row>
    <row r="37" spans="2:10" ht="36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/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/>
    </row>
    <row r="39" spans="2:10" ht="36" customHeight="1" x14ac:dyDescent="0.25">
      <c r="B39" t="s">
        <v>72</v>
      </c>
      <c r="C39" s="37" t="s">
        <v>41</v>
      </c>
      <c r="D39" s="40"/>
      <c r="E39" s="17">
        <v>1</v>
      </c>
      <c r="F39" s="4" t="str">
        <f>IFERROR(VLOOKUP(E39,REF!$B$2:$C$6,2,0),"")</f>
        <v>Situation conforme</v>
      </c>
      <c r="G39" s="18"/>
      <c r="I39" s="13"/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/>
      <c r="I40" s="13"/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/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/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/>
    </row>
    <row r="44" spans="2:10" ht="44.45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116</v>
      </c>
      <c r="I44" s="13"/>
    </row>
    <row r="45" spans="2:10" ht="26.25" x14ac:dyDescent="0.25">
      <c r="B45" t="s">
        <v>78</v>
      </c>
      <c r="C45" s="37" t="s">
        <v>46</v>
      </c>
      <c r="D45" s="39"/>
      <c r="E45" s="17">
        <v>1</v>
      </c>
      <c r="F45" s="4" t="str">
        <f>IFERROR(VLOOKUP(E45,REF!$B$2:$C$6,2,0),"")</f>
        <v>Situation conforme</v>
      </c>
      <c r="G45" s="18"/>
      <c r="I45" s="13"/>
    </row>
    <row r="46" spans="2:10" ht="57.6" customHeight="1" x14ac:dyDescent="0.25">
      <c r="B46" t="s">
        <v>79</v>
      </c>
      <c r="C46" s="37" t="s">
        <v>47</v>
      </c>
      <c r="D46" s="39"/>
      <c r="E46" s="17">
        <v>3</v>
      </c>
      <c r="F46" s="4" t="str">
        <f>IFERROR(VLOOKUP(E46,REF!$B$2:$C$6,2,0),"")</f>
        <v>Défaillance majeure à traiter</v>
      </c>
      <c r="G46" s="18" t="s">
        <v>112</v>
      </c>
      <c r="I46" s="13"/>
    </row>
    <row r="47" spans="2:10" ht="36" customHeight="1" x14ac:dyDescent="0.25">
      <c r="B47" t="s">
        <v>80</v>
      </c>
      <c r="C47" s="37" t="s">
        <v>48</v>
      </c>
      <c r="D47" s="39"/>
      <c r="E47" s="17">
        <v>3</v>
      </c>
      <c r="F47" s="4" t="str">
        <f>IFERROR(VLOOKUP(E47,REF!$B$2:$C$6,2,0),"")</f>
        <v>Défaillance majeure à traiter</v>
      </c>
      <c r="G47" s="18" t="s">
        <v>131</v>
      </c>
      <c r="I47" s="13"/>
    </row>
    <row r="48" spans="2:10" ht="47.25" customHeight="1" x14ac:dyDescent="0.25">
      <c r="B48" t="s">
        <v>81</v>
      </c>
      <c r="C48" s="37" t="s">
        <v>49</v>
      </c>
      <c r="D48" s="39"/>
      <c r="E48" s="17">
        <v>2</v>
      </c>
      <c r="F48" s="4" t="str">
        <f>IFERROR(VLOOKUP(E48,REF!$B$2:$C$6,2,0),"")</f>
        <v>Alertes mineures</v>
      </c>
      <c r="G48" s="18" t="s">
        <v>130</v>
      </c>
      <c r="I48" s="13"/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/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125</v>
      </c>
      <c r="I51" s="13"/>
    </row>
    <row r="52" spans="2:9" ht="36" customHeight="1" x14ac:dyDescent="0.25">
      <c r="C52" s="36"/>
      <c r="D52" s="36"/>
    </row>
  </sheetData>
  <mergeCells count="19">
    <mergeCell ref="C52:D52"/>
    <mergeCell ref="C46:D46"/>
    <mergeCell ref="C47:D47"/>
    <mergeCell ref="C48:D48"/>
    <mergeCell ref="C49:D49"/>
    <mergeCell ref="C50:D50"/>
    <mergeCell ref="C51:D51"/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conditionalFormatting sqref="E36:E48 E50:E69">
    <cfRule type="cellIs" dxfId="19" priority="6" operator="equal">
      <formula>"NA"</formula>
    </cfRule>
    <cfRule type="cellIs" dxfId="18" priority="7" operator="equal">
      <formula>4</formula>
    </cfRule>
    <cfRule type="cellIs" dxfId="17" priority="8" operator="equal">
      <formula>3</formula>
    </cfRule>
    <cfRule type="cellIs" dxfId="16" priority="9" operator="equal">
      <formula>2</formula>
    </cfRule>
    <cfRule type="cellIs" dxfId="15" priority="10" operator="equal">
      <formula>1</formula>
    </cfRule>
  </conditionalFormatting>
  <conditionalFormatting sqref="E49">
    <cfRule type="cellIs" dxfId="14" priority="1" operator="equal">
      <formula>"NA"</formula>
    </cfRule>
    <cfRule type="cellIs" dxfId="13" priority="2" operator="equal">
      <formula>4</formula>
    </cfRule>
    <cfRule type="cellIs" dxfId="12" priority="3" operator="equal">
      <formula>3</formula>
    </cfRule>
    <cfRule type="cellIs" dxfId="11" priority="4" operator="equal">
      <formula>2</formula>
    </cfRule>
    <cfRule type="cellIs" dxfId="1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'Instructions - Consignes'!$O$57:$O$61</xm:f>
          </x14:formula1>
          <xm:sqref>I36:I49 I51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REF!$F$10:$F$11</xm:f>
          </x14:formula1>
          <xm:sqref>D12 D14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52"/>
  <sheetViews>
    <sheetView tabSelected="1" workbookViewId="0">
      <selection activeCell="A2" sqref="A2:L2"/>
    </sheetView>
  </sheetViews>
  <sheetFormatPr baseColWidth="10" defaultColWidth="10.7109375" defaultRowHeight="15" x14ac:dyDescent="0.25"/>
  <cols>
    <col min="1" max="1" width="4.28515625" customWidth="1"/>
    <col min="2" max="2" width="7.85546875" customWidth="1"/>
    <col min="3" max="3" width="33.140625" style="2" customWidth="1"/>
    <col min="4" max="4" width="23.42578125" customWidth="1"/>
    <col min="5" max="5" width="14.85546875" customWidth="1"/>
    <col min="6" max="6" width="26.85546875" customWidth="1"/>
    <col min="7" max="7" width="33.140625" style="2" customWidth="1"/>
    <col min="9" max="9" width="16.85546875" customWidth="1"/>
    <col min="10" max="10" width="39.5703125" customWidth="1"/>
  </cols>
  <sheetData>
    <row r="2" spans="1:12" ht="60.6" customHeight="1" x14ac:dyDescent="0.25">
      <c r="A2" s="41" t="s">
        <v>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</row>
    <row r="3" spans="1:12" ht="15.6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s="7" customFormat="1" ht="22.5" customHeight="1" x14ac:dyDescent="0.25">
      <c r="B4" s="7" t="s">
        <v>2</v>
      </c>
      <c r="C4" s="8"/>
      <c r="D4" s="8"/>
      <c r="E4" s="8"/>
      <c r="G4" s="9" t="s">
        <v>7</v>
      </c>
      <c r="H4" s="8"/>
    </row>
    <row r="5" spans="1:12" x14ac:dyDescent="0.25">
      <c r="H5" s="31" t="s">
        <v>4</v>
      </c>
      <c r="I5" s="31" t="s">
        <v>5</v>
      </c>
    </row>
    <row r="6" spans="1:12" ht="23.45" customHeight="1" x14ac:dyDescent="0.25">
      <c r="C6" s="33" t="s">
        <v>31</v>
      </c>
      <c r="D6" s="14" t="s">
        <v>106</v>
      </c>
      <c r="G6" s="33" t="s">
        <v>50</v>
      </c>
      <c r="H6" s="17">
        <v>5</v>
      </c>
      <c r="I6" s="17">
        <v>2024</v>
      </c>
    </row>
    <row r="7" spans="1:12" ht="12.6" customHeight="1" x14ac:dyDescent="0.25">
      <c r="C7" s="33"/>
      <c r="D7" s="4"/>
      <c r="G7" s="33"/>
      <c r="H7" s="24"/>
      <c r="I7" s="24"/>
    </row>
    <row r="8" spans="1:12" ht="33.75" customHeight="1" x14ac:dyDescent="0.25">
      <c r="C8" s="33" t="s">
        <v>87</v>
      </c>
      <c r="D8" s="14" t="s">
        <v>89</v>
      </c>
      <c r="E8" s="3" t="s">
        <v>121</v>
      </c>
      <c r="F8" s="16" t="s">
        <v>122</v>
      </c>
      <c r="G8" s="33" t="s">
        <v>51</v>
      </c>
      <c r="H8" s="17">
        <v>12</v>
      </c>
      <c r="I8" s="4"/>
      <c r="J8" s="1" t="s">
        <v>68</v>
      </c>
      <c r="K8" s="17">
        <v>0</v>
      </c>
    </row>
    <row r="9" spans="1:12" x14ac:dyDescent="0.25">
      <c r="C9" s="33"/>
    </row>
    <row r="10" spans="1:12" ht="42.6" customHeight="1" x14ac:dyDescent="0.25">
      <c r="C10" s="33" t="s">
        <v>32</v>
      </c>
      <c r="D10" s="16" t="s">
        <v>113</v>
      </c>
      <c r="G10" s="32" t="s">
        <v>52</v>
      </c>
      <c r="H10" s="17">
        <v>205</v>
      </c>
      <c r="I10" t="s">
        <v>6</v>
      </c>
      <c r="J10" s="1" t="s">
        <v>66</v>
      </c>
      <c r="K10" s="17">
        <v>942</v>
      </c>
    </row>
    <row r="11" spans="1:12" ht="16.5" customHeight="1" x14ac:dyDescent="0.25">
      <c r="C11" s="33"/>
      <c r="D11" s="20"/>
      <c r="G11" s="33"/>
    </row>
    <row r="12" spans="1:12" ht="42.6" customHeight="1" x14ac:dyDescent="0.25">
      <c r="C12" s="32" t="s">
        <v>99</v>
      </c>
      <c r="D12" s="16" t="s">
        <v>100</v>
      </c>
      <c r="G12" s="32" t="s">
        <v>53</v>
      </c>
      <c r="H12" s="17">
        <v>224</v>
      </c>
      <c r="I12" t="s">
        <v>6</v>
      </c>
      <c r="J12" s="20" t="s">
        <v>67</v>
      </c>
      <c r="K12" s="17">
        <v>961</v>
      </c>
    </row>
    <row r="13" spans="1:12" ht="16.5" customHeight="1" x14ac:dyDescent="0.25">
      <c r="C13" s="33"/>
      <c r="D13" s="20"/>
      <c r="G13" s="33"/>
    </row>
    <row r="14" spans="1:12" ht="42.6" customHeight="1" x14ac:dyDescent="0.25">
      <c r="C14" s="33" t="s">
        <v>102</v>
      </c>
      <c r="D14" s="16" t="s">
        <v>101</v>
      </c>
      <c r="G14" s="33" t="s">
        <v>54</v>
      </c>
      <c r="H14" s="5">
        <f>H12-H10</f>
        <v>19</v>
      </c>
      <c r="K14" s="5">
        <f>K12-K10</f>
        <v>19</v>
      </c>
    </row>
    <row r="15" spans="1:12" ht="32.450000000000003" customHeight="1" x14ac:dyDescent="0.25">
      <c r="C15" s="33"/>
      <c r="G15" s="33"/>
    </row>
    <row r="16" spans="1:12" ht="30" x14ac:dyDescent="0.25">
      <c r="C16" s="33" t="s">
        <v>0</v>
      </c>
      <c r="D16" s="14"/>
      <c r="G16" s="32" t="s">
        <v>55</v>
      </c>
      <c r="H16" s="42" t="s">
        <v>133</v>
      </c>
      <c r="I16" s="43"/>
      <c r="J16" s="43"/>
      <c r="K16" s="43"/>
      <c r="L16" s="44"/>
    </row>
    <row r="17" spans="2:7" x14ac:dyDescent="0.25">
      <c r="C17" s="33" t="s">
        <v>33</v>
      </c>
      <c r="D17" s="15"/>
    </row>
    <row r="18" spans="2:7" x14ac:dyDescent="0.25">
      <c r="C18" s="33" t="s">
        <v>34</v>
      </c>
      <c r="D18" s="15"/>
    </row>
    <row r="19" spans="2:7" x14ac:dyDescent="0.25">
      <c r="C19" s="33"/>
      <c r="D19" s="4"/>
    </row>
    <row r="20" spans="2:7" x14ac:dyDescent="0.25">
      <c r="C20" s="33" t="s">
        <v>1</v>
      </c>
      <c r="D20" s="14"/>
    </row>
    <row r="21" spans="2:7" x14ac:dyDescent="0.25">
      <c r="C21" s="33"/>
      <c r="D21" s="4"/>
    </row>
    <row r="22" spans="2:7" ht="30" x14ac:dyDescent="0.25">
      <c r="C22" s="32" t="s">
        <v>35</v>
      </c>
      <c r="D22" s="16" t="s">
        <v>21</v>
      </c>
    </row>
    <row r="23" spans="2:7" x14ac:dyDescent="0.25">
      <c r="C23" s="33"/>
      <c r="D23" s="4"/>
    </row>
    <row r="24" spans="2:7" ht="30" x14ac:dyDescent="0.25">
      <c r="C24" s="32" t="s">
        <v>36</v>
      </c>
      <c r="D24" s="16" t="s">
        <v>16</v>
      </c>
    </row>
    <row r="25" spans="2:7" x14ac:dyDescent="0.25">
      <c r="C25" s="33"/>
      <c r="D25" s="4"/>
    </row>
    <row r="26" spans="2:7" ht="30" x14ac:dyDescent="0.25">
      <c r="C26" s="32" t="s">
        <v>65</v>
      </c>
      <c r="D26" s="14" t="s">
        <v>107</v>
      </c>
    </row>
    <row r="28" spans="2:7" ht="30" x14ac:dyDescent="0.25">
      <c r="C28" s="32" t="s">
        <v>37</v>
      </c>
      <c r="D28" s="14" t="s">
        <v>108</v>
      </c>
    </row>
    <row r="30" spans="2:7" s="11" customFormat="1" ht="18.75" x14ac:dyDescent="0.3">
      <c r="B30" s="7" t="s">
        <v>8</v>
      </c>
      <c r="C30" s="10"/>
      <c r="G30" s="10"/>
    </row>
    <row r="32" spans="2:7" ht="30" x14ac:dyDescent="0.25">
      <c r="C32" s="3" t="s">
        <v>38</v>
      </c>
      <c r="D32" s="18" t="s">
        <v>109</v>
      </c>
    </row>
    <row r="34" spans="2:10" ht="45" x14ac:dyDescent="0.25">
      <c r="E34" s="21" t="s">
        <v>56</v>
      </c>
      <c r="F34" s="6"/>
      <c r="G34" s="23" t="s">
        <v>57</v>
      </c>
      <c r="I34" s="23" t="s">
        <v>58</v>
      </c>
      <c r="J34" s="1"/>
    </row>
    <row r="36" spans="2:10" ht="56.25" customHeight="1" x14ac:dyDescent="0.25">
      <c r="B36" t="s">
        <v>69</v>
      </c>
      <c r="C36" s="37" t="s">
        <v>39</v>
      </c>
      <c r="D36" s="39"/>
      <c r="E36" s="17">
        <v>2</v>
      </c>
      <c r="F36" s="4" t="str">
        <f>IFERROR(VLOOKUP(E36,REF!$B$2:$C$6,2,0),"")</f>
        <v>Alertes mineures</v>
      </c>
      <c r="G36" s="18" t="s">
        <v>137</v>
      </c>
      <c r="I36" s="13">
        <v>40</v>
      </c>
    </row>
    <row r="37" spans="2:10" ht="56.25" customHeight="1" x14ac:dyDescent="0.25">
      <c r="B37" t="s">
        <v>70</v>
      </c>
      <c r="C37" s="37" t="s">
        <v>103</v>
      </c>
      <c r="D37" s="39"/>
      <c r="E37" s="17">
        <v>1</v>
      </c>
      <c r="F37" s="4" t="str">
        <f>IFERROR(VLOOKUP(E37,REF!$B$2:$C$6,2,0),"")</f>
        <v>Situation conforme</v>
      </c>
      <c r="G37" s="18"/>
      <c r="I37" s="13">
        <v>30</v>
      </c>
    </row>
    <row r="38" spans="2:10" ht="36" customHeight="1" x14ac:dyDescent="0.25">
      <c r="B38" t="s">
        <v>71</v>
      </c>
      <c r="C38" s="37" t="s">
        <v>40</v>
      </c>
      <c r="D38" s="39"/>
      <c r="E38" s="17">
        <v>1</v>
      </c>
      <c r="F38" s="4" t="str">
        <f>IFERROR(VLOOKUP(E38,REF!$B$2:$C$6,2,0),"")</f>
        <v>Situation conforme</v>
      </c>
      <c r="G38" s="18"/>
      <c r="I38" s="13">
        <v>30</v>
      </c>
    </row>
    <row r="39" spans="2:10" ht="36" customHeight="1" x14ac:dyDescent="0.25">
      <c r="B39" t="s">
        <v>72</v>
      </c>
      <c r="C39" s="37" t="s">
        <v>41</v>
      </c>
      <c r="D39" s="40"/>
      <c r="E39" s="17">
        <v>1</v>
      </c>
      <c r="F39" s="4" t="str">
        <f>IFERROR(VLOOKUP(E39,REF!$B$2:$C$6,2,0),"")</f>
        <v>Situation conforme</v>
      </c>
      <c r="G39" s="18"/>
      <c r="I39" s="13">
        <v>30</v>
      </c>
    </row>
    <row r="40" spans="2:10" ht="36" customHeight="1" x14ac:dyDescent="0.25">
      <c r="B40" t="s">
        <v>73</v>
      </c>
      <c r="C40" s="37" t="s">
        <v>98</v>
      </c>
      <c r="D40" s="38"/>
      <c r="E40" s="17">
        <v>1</v>
      </c>
      <c r="F40" s="4" t="str">
        <f>IFERROR(VLOOKUP(E40,REF!$B$2:$C$6,2,0),"")</f>
        <v>Situation conforme</v>
      </c>
      <c r="G40" s="18"/>
      <c r="I40" s="13">
        <v>30</v>
      </c>
    </row>
    <row r="41" spans="2:10" ht="47.45" customHeight="1" x14ac:dyDescent="0.25">
      <c r="B41" t="s">
        <v>74</v>
      </c>
      <c r="C41" s="37" t="s">
        <v>42</v>
      </c>
      <c r="D41" s="39"/>
      <c r="E41" s="17">
        <v>1</v>
      </c>
      <c r="F41" s="4" t="str">
        <f>IFERROR(VLOOKUP(E41,REF!$B$2:$C$6,2,0),"")</f>
        <v>Situation conforme</v>
      </c>
      <c r="G41" s="18"/>
      <c r="I41" s="13">
        <v>30</v>
      </c>
    </row>
    <row r="42" spans="2:10" ht="36" customHeight="1" x14ac:dyDescent="0.25">
      <c r="B42" t="s">
        <v>75</v>
      </c>
      <c r="C42" s="37" t="s">
        <v>43</v>
      </c>
      <c r="D42" s="39"/>
      <c r="E42" s="17">
        <v>1</v>
      </c>
      <c r="F42" s="4" t="str">
        <f>IFERROR(VLOOKUP(E42,REF!$B$2:$C$6,2,0),"")</f>
        <v>Situation conforme</v>
      </c>
      <c r="G42" s="18"/>
      <c r="I42" s="13">
        <v>30</v>
      </c>
    </row>
    <row r="43" spans="2:10" ht="36" customHeight="1" x14ac:dyDescent="0.25">
      <c r="B43" t="s">
        <v>76</v>
      </c>
      <c r="C43" s="37" t="s">
        <v>44</v>
      </c>
      <c r="D43" s="39"/>
      <c r="E43" s="17">
        <v>1</v>
      </c>
      <c r="F43" s="4" t="str">
        <f>IFERROR(VLOOKUP(E43,REF!$B$2:$C$6,2,0),"")</f>
        <v>Situation conforme</v>
      </c>
      <c r="G43" s="18"/>
      <c r="I43" s="13">
        <v>30</v>
      </c>
    </row>
    <row r="44" spans="2:10" ht="60" customHeight="1" x14ac:dyDescent="0.25">
      <c r="B44" t="s">
        <v>77</v>
      </c>
      <c r="C44" s="37" t="s">
        <v>45</v>
      </c>
      <c r="D44" s="40"/>
      <c r="E44" s="17">
        <v>2</v>
      </c>
      <c r="F44" s="4" t="str">
        <f>IFERROR(VLOOKUP(E44,REF!$B$2:$C$6,2,0),"")</f>
        <v>Alertes mineures</v>
      </c>
      <c r="G44" s="18" t="s">
        <v>135</v>
      </c>
      <c r="I44" s="13">
        <v>30</v>
      </c>
    </row>
    <row r="45" spans="2:10" ht="26.25" x14ac:dyDescent="0.25">
      <c r="B45" t="s">
        <v>78</v>
      </c>
      <c r="C45" s="37" t="s">
        <v>46</v>
      </c>
      <c r="D45" s="39"/>
      <c r="E45" s="17">
        <v>1</v>
      </c>
      <c r="F45" s="4" t="str">
        <f>IFERROR(VLOOKUP(E45,REF!$B$2:$C$6,2,0),"")</f>
        <v>Situation conforme</v>
      </c>
      <c r="G45" s="18"/>
      <c r="I45" s="13">
        <v>30</v>
      </c>
    </row>
    <row r="46" spans="2:10" ht="57.6" customHeight="1" x14ac:dyDescent="0.25">
      <c r="B46" t="s">
        <v>79</v>
      </c>
      <c r="C46" s="37" t="s">
        <v>47</v>
      </c>
      <c r="D46" s="39"/>
      <c r="E46" s="17">
        <v>2</v>
      </c>
      <c r="F46" s="4" t="str">
        <f>IFERROR(VLOOKUP(E46,REF!$B$2:$C$6,2,0),"")</f>
        <v>Alertes mineures</v>
      </c>
      <c r="G46" s="18" t="s">
        <v>134</v>
      </c>
      <c r="I46" s="13">
        <v>20</v>
      </c>
    </row>
    <row r="47" spans="2:10" ht="36" customHeight="1" x14ac:dyDescent="0.25">
      <c r="B47" t="s">
        <v>80</v>
      </c>
      <c r="C47" s="37" t="s">
        <v>48</v>
      </c>
      <c r="D47" s="39"/>
      <c r="E47" s="17">
        <v>3</v>
      </c>
      <c r="F47" s="4" t="str">
        <f>IFERROR(VLOOKUP(E47,REF!$B$2:$C$6,2,0),"")</f>
        <v>Défaillance majeure à traiter</v>
      </c>
      <c r="G47" s="18" t="s">
        <v>131</v>
      </c>
      <c r="I47" s="13">
        <v>30</v>
      </c>
    </row>
    <row r="48" spans="2:10" ht="47.25" customHeight="1" x14ac:dyDescent="0.25">
      <c r="B48" t="s">
        <v>81</v>
      </c>
      <c r="C48" s="37" t="s">
        <v>49</v>
      </c>
      <c r="D48" s="39"/>
      <c r="E48" s="17">
        <v>2</v>
      </c>
      <c r="F48" s="4" t="str">
        <f>IFERROR(VLOOKUP(E48,REF!$B$2:$C$6,2,0),"")</f>
        <v>Alertes mineures</v>
      </c>
      <c r="G48" s="18" t="s">
        <v>130</v>
      </c>
      <c r="I48" s="13">
        <v>30</v>
      </c>
    </row>
    <row r="49" spans="2:9" ht="36" customHeight="1" x14ac:dyDescent="0.25">
      <c r="B49" t="s">
        <v>82</v>
      </c>
      <c r="C49" s="37" t="s">
        <v>104</v>
      </c>
      <c r="D49" s="39"/>
      <c r="E49" s="17">
        <v>1</v>
      </c>
      <c r="F49" s="4" t="str">
        <f>IFERROR(VLOOKUP(E49,REF!$B$2:$C$6,2,0),"")</f>
        <v>Situation conforme</v>
      </c>
      <c r="G49" s="18"/>
      <c r="I49" s="13">
        <v>30</v>
      </c>
    </row>
    <row r="50" spans="2:9" ht="15.95" customHeight="1" x14ac:dyDescent="0.25">
      <c r="C50" s="35"/>
      <c r="D50" s="35"/>
      <c r="F50" s="4"/>
      <c r="G50" s="22"/>
      <c r="I50" s="13"/>
    </row>
    <row r="51" spans="2:9" ht="95.1" customHeight="1" x14ac:dyDescent="0.25">
      <c r="B51" s="4" t="s">
        <v>105</v>
      </c>
      <c r="C51" s="37" t="s">
        <v>59</v>
      </c>
      <c r="D51" s="37"/>
      <c r="E51" s="17">
        <v>3</v>
      </c>
      <c r="F51" s="4" t="str">
        <f>IFERROR(VLOOKUP(E51,REF!$B$2:$C$6,2,0),"")</f>
        <v>Défaillance majeure à traiter</v>
      </c>
      <c r="G51" s="18" t="s">
        <v>136</v>
      </c>
      <c r="I51" s="13">
        <v>30</v>
      </c>
    </row>
    <row r="52" spans="2:9" ht="36" customHeight="1" x14ac:dyDescent="0.25">
      <c r="C52" s="36"/>
      <c r="D52" s="36"/>
    </row>
  </sheetData>
  <mergeCells count="19">
    <mergeCell ref="C45:D45"/>
    <mergeCell ref="A2:L2"/>
    <mergeCell ref="H16:L16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2:D52"/>
    <mergeCell ref="C46:D46"/>
    <mergeCell ref="C47:D47"/>
    <mergeCell ref="C48:D48"/>
    <mergeCell ref="C49:D49"/>
    <mergeCell ref="C50:D50"/>
    <mergeCell ref="C51:D51"/>
  </mergeCells>
  <conditionalFormatting sqref="E36:E48 E50:E69">
    <cfRule type="cellIs" dxfId="9" priority="6" operator="equal">
      <formula>"NA"</formula>
    </cfRule>
    <cfRule type="cellIs" dxfId="8" priority="7" operator="equal">
      <formula>4</formula>
    </cfRule>
    <cfRule type="cellIs" dxfId="7" priority="8" operator="equal">
      <formula>3</formula>
    </cfRule>
    <cfRule type="cellIs" dxfId="6" priority="9" operator="equal">
      <formula>2</formula>
    </cfRule>
    <cfRule type="cellIs" dxfId="5" priority="10" operator="equal">
      <formula>1</formula>
    </cfRule>
  </conditionalFormatting>
  <conditionalFormatting sqref="E49">
    <cfRule type="cellIs" dxfId="4" priority="1" operator="equal">
      <formula>"NA"</formula>
    </cfRule>
    <cfRule type="cellIs" dxfId="3" priority="2" operator="equal">
      <formula>4</formula>
    </cfRule>
    <cfRule type="cellIs" dxfId="2" priority="3" operator="equal">
      <formula>3</formula>
    </cfRule>
    <cfRule type="cellIs" dxfId="1" priority="4" operator="equal">
      <formula>2</formula>
    </cfRule>
    <cfRule type="cellIs" dxfId="0" priority="5" operator="equal">
      <formula>1</formula>
    </cfRule>
  </conditionalFormatting>
  <conditionalFormatting sqref="I36:I51">
    <cfRule type="iconSet" priority="11">
      <iconSet iconSet="5Arrows" showValue="0" reverse="1">
        <cfvo type="percent" val="0"/>
        <cfvo type="num" val="10" gte="0"/>
        <cfvo type="num" val="20" gte="0"/>
        <cfvo type="num" val="30" gte="0"/>
        <cfvo type="num" val="4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OIS_SUIVANT">
                <anchor moveWithCells="1" sizeWithCells="1">
                  <from>
                    <xdr:col>9</xdr:col>
                    <xdr:colOff>1390650</xdr:colOff>
                    <xdr:row>1</xdr:row>
                    <xdr:rowOff>66675</xdr:rowOff>
                  </from>
                  <to>
                    <xdr:col>11</xdr:col>
                    <xdr:colOff>733425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REF!$F$10:$F$11</xm:f>
          </x14:formula1>
          <xm:sqref>D12 D14</xm:sqref>
        </x14:dataValidation>
        <x14:dataValidation type="list" allowBlank="1" showInputMessage="1" showErrorMessage="1">
          <x14:formula1>
            <xm:f>REF!$B$2:$B$6</xm:f>
          </x14:formula1>
          <xm:sqref>E51 E36:E49</xm:sqref>
        </x14:dataValidation>
        <x14:dataValidation type="list" allowBlank="1" showInputMessage="1" showErrorMessage="1">
          <x14:formula1>
            <xm:f>REF!$C$10:$C$16</xm:f>
          </x14:formula1>
          <xm:sqref>D8</xm:sqref>
        </x14:dataValidation>
        <x14:dataValidation type="list" allowBlank="1" showInputMessage="1" showErrorMessage="1">
          <x14:formula1>
            <xm:f>'Instructions - Consignes'!$U$65:$U$66</xm:f>
          </x14:formula1>
          <xm:sqref>D22</xm:sqref>
        </x14:dataValidation>
        <x14:dataValidation type="list" allowBlank="1" showInputMessage="1" showErrorMessage="1">
          <x14:formula1>
            <xm:f>'Instructions - Consignes'!$U$57:$U$63</xm:f>
          </x14:formula1>
          <xm:sqref>D24</xm:sqref>
        </x14:dataValidation>
        <x14:dataValidation type="list" allowBlank="1" showInputMessage="1" showErrorMessage="1">
          <x14:formula1>
            <xm:f>'Instructions - Consignes'!$S$57:$S$68</xm:f>
          </x14:formula1>
          <xm:sqref>H6:H7</xm:sqref>
        </x14:dataValidation>
        <x14:dataValidation type="list" allowBlank="1" showInputMessage="1" showErrorMessage="1">
          <x14:formula1>
            <xm:f>'Instructions - Consignes'!$O$57:$O$61</xm:f>
          </x14:formula1>
          <xm:sqref>I51 I36:I49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roits xmlns="f7e36164-b85c-4f5a-95cf-d41f577fadcd">Consultation uniquement</Droits>
    <lcf76f155ced4ddcb4097134ff3c332f xmlns="f7e36164-b85c-4f5a-95cf-d41f577fadcd">
      <Terms xmlns="http://schemas.microsoft.com/office/infopath/2007/PartnerControls"/>
    </lcf76f155ced4ddcb4097134ff3c332f>
    <TaxCatchAll xmlns="f788c8dd-9cf4-4a9f-a25c-afcb37901bd9" xsi:nil="true"/>
    <_Flow_SignoffStatus xmlns="f7e36164-b85c-4f5a-95cf-d41f577fadcd" xsi:nil="true"/>
    <Responsablepublications xmlns="f7e36164-b85c-4f5a-95cf-d41f577fadcd">
      <UserInfo>
        <DisplayName/>
        <AccountId xsi:nil="true"/>
        <AccountType/>
      </UserInfo>
    </Responsablepublication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048C85D0F0354D943A5C3CE0475768" ma:contentTypeVersion="21" ma:contentTypeDescription="Crée un document." ma:contentTypeScope="" ma:versionID="b6751bffbb8712b1df7b5aab4aaa5e32">
  <xsd:schema xmlns:xsd="http://www.w3.org/2001/XMLSchema" xmlns:xs="http://www.w3.org/2001/XMLSchema" xmlns:p="http://schemas.microsoft.com/office/2006/metadata/properties" xmlns:ns2="f7e36164-b85c-4f5a-95cf-d41f577fadcd" xmlns:ns3="f788c8dd-9cf4-4a9f-a25c-afcb37901bd9" targetNamespace="http://schemas.microsoft.com/office/2006/metadata/properties" ma:root="true" ma:fieldsID="940be6971c7884eea9fdc3f460168e5f" ns2:_="" ns3:_="">
    <xsd:import namespace="f7e36164-b85c-4f5a-95cf-d41f577fadcd"/>
    <xsd:import namespace="f788c8dd-9cf4-4a9f-a25c-afcb37901bd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_Flow_SignoffStatus" minOccurs="0"/>
                <xsd:element ref="ns2:MediaServiceDateTaken" minOccurs="0"/>
                <xsd:element ref="ns2:Responsablepublication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Droi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e36164-b85c-4f5a-95cf-d41f577fadc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6" nillable="true" ma:displayName="Sign-off status" ma:internalName="Sign_x002d_off_x0020_status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Responsablepublications" ma:index="18" nillable="true" ma:displayName="Responsable publications" ma:description="Personne en charge de la mise à jour du dossier / document" ma:format="Dropdown" ma:list="UserInfo" ma:SharePointGroup="0" ma:internalName="Responsablepublication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Droits" ma:index="22" nillable="true" ma:displayName="Droits" ma:default="Consultation uniquement" ma:description="Préciser si le document / dossier est en lecture seule ou s'il est possible de le modifier" ma:format="Dropdown" ma:internalName="Droits">
      <xsd:simpleType>
        <xsd:restriction base="dms:Choice">
          <xsd:enumeration value="Consultation uniquement"/>
          <xsd:enumeration value="Peut modifier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Balises d’images" ma:readOnly="false" ma:fieldId="{5cf76f15-5ced-4ddc-b409-7134ff3c332f}" ma:taxonomyMulti="true" ma:sspId="fcf0fcd5-0673-4bca-8a48-ecdaf732742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88c8dd-9cf4-4a9f-a25c-afcb37901bd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0a1fc011-ae7b-4420-b930-2fc7c0ffa4c8}" ma:internalName="TaxCatchAll" ma:showField="CatchAllData" ma:web="f788c8dd-9cf4-4a9f-a25c-afcb37901bd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34D152-320D-4A54-B012-A0EE41889764}">
  <ds:schemaRefs>
    <ds:schemaRef ds:uri="http://schemas.microsoft.com/office/2006/metadata/properties"/>
    <ds:schemaRef ds:uri="http://www.w3.org/2000/xmlns/"/>
    <ds:schemaRef ds:uri="f7e36164-b85c-4f5a-95cf-d41f577fadcd"/>
    <ds:schemaRef ds:uri="http://schemas.microsoft.com/office/infopath/2007/PartnerControls"/>
    <ds:schemaRef ds:uri="f788c8dd-9cf4-4a9f-a25c-afcb37901bd9"/>
    <ds:schemaRef ds:uri="http://www.w3.org/2001/XMLSchema-instance"/>
  </ds:schemaRefs>
</ds:datastoreItem>
</file>

<file path=customXml/itemProps2.xml><?xml version="1.0" encoding="utf-8"?>
<ds:datastoreItem xmlns:ds="http://schemas.openxmlformats.org/officeDocument/2006/customXml" ds:itemID="{6D6A7841-0EAD-4F02-9F71-A00F7591027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f7e36164-b85c-4f5a-95cf-d41f577fadcd"/>
    <ds:schemaRef ds:uri="f788c8dd-9cf4-4a9f-a25c-afcb37901bd9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8DA881-DF61-4A09-8780-8E5D29FAD5A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</vt:i4>
      </vt:variant>
    </vt:vector>
  </HeadingPairs>
  <TitlesOfParts>
    <vt:vector size="14" baseType="lpstr">
      <vt:lpstr>REF</vt:lpstr>
      <vt:lpstr>Instructions - Consignes</vt:lpstr>
      <vt:lpstr>INIT</vt:lpstr>
      <vt:lpstr>8 - 2023</vt:lpstr>
      <vt:lpstr>9 - 2023</vt:lpstr>
      <vt:lpstr>10 - 2023</vt:lpstr>
      <vt:lpstr>11 - 2023</vt:lpstr>
      <vt:lpstr>12 - 2023</vt:lpstr>
      <vt:lpstr>1 - 2024</vt:lpstr>
      <vt:lpstr>2 - 2024</vt:lpstr>
      <vt:lpstr>3 - 2024</vt:lpstr>
      <vt:lpstr>4 - 2024</vt:lpstr>
      <vt:lpstr>5 - 2024</vt:lpstr>
      <vt:lpstr>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JAMBOIS</dc:creator>
  <cp:lastModifiedBy>BEURAERT Thomas (PRESTA EXT)</cp:lastModifiedBy>
  <dcterms:created xsi:type="dcterms:W3CDTF">2015-06-05T18:19:34Z</dcterms:created>
  <dcterms:modified xsi:type="dcterms:W3CDTF">2024-06-03T09:20:13Z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0x010100A9048C85D0F0354D943A5C3CE0475768</vt:lpwstr>
  </property>
</Properties>
</file>